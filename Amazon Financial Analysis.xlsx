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mrrya\Downloads\"/>
    </mc:Choice>
  </mc:AlternateContent>
  <xr:revisionPtr revIDLastSave="0" documentId="13_ncr:1_{E1C63DF7-5BAA-419F-B909-AB8D64C8E26C}" xr6:coauthVersionLast="47" xr6:coauthVersionMax="47" xr10:uidLastSave="{00000000-0000-0000-0000-000000000000}"/>
  <bookViews>
    <workbookView xWindow="-110" yWindow="-110" windowWidth="19420" windowHeight="11500" firstSheet="6" activeTab="8" xr2:uid="{16D7B402-20ED-4E4B-A580-EB874D905D78}"/>
  </bookViews>
  <sheets>
    <sheet name="AMZN_Cash flow" sheetId="1" r:id="rId1"/>
    <sheet name="AMZN_Income Statement" sheetId="3" r:id="rId2"/>
    <sheet name="AMZN_Balance Sheet" sheetId="2" r:id="rId3"/>
    <sheet name="1) Financial_Analysis" sheetId="4" r:id="rId4"/>
    <sheet name="2) Financial_Models" sheetId="5" r:id="rId5"/>
    <sheet name="3) Valuation" sheetId="6" r:id="rId6"/>
    <sheet name="Financial_Dashboard" sheetId="12" r:id="rId7"/>
    <sheet name="4) Dashboard_Data" sheetId="7" r:id="rId8"/>
    <sheet name="5) Dashboard" sheetId="8" r:id="rId9"/>
    <sheet name="6) Budget Vs Actual" sheetId="11" r:id="rId10"/>
  </sheets>
  <definedNames>
    <definedName name="Slicer_Segment">#N/A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6" l="1"/>
  <c r="F17" i="5"/>
  <c r="J4" i="5"/>
  <c r="J5" i="5"/>
  <c r="J6" i="5"/>
  <c r="J7" i="5"/>
  <c r="E7" i="5"/>
  <c r="D7" i="5"/>
  <c r="F7" i="5"/>
  <c r="E19" i="5"/>
  <c r="D19" i="5"/>
  <c r="C27" i="1"/>
  <c r="D27" i="1"/>
  <c r="B27" i="1"/>
  <c r="F5" i="5"/>
  <c r="G5" i="5" s="1"/>
  <c r="H5" i="5" s="1"/>
  <c r="F6" i="5"/>
  <c r="G6" i="5" s="1"/>
  <c r="H6" i="5" s="1"/>
  <c r="F4" i="5"/>
  <c r="G4" i="5" s="1"/>
  <c r="H4" i="5" s="1"/>
  <c r="D11" i="5"/>
  <c r="E11" i="5"/>
  <c r="G10" i="3"/>
  <c r="E5" i="11"/>
  <c r="E6" i="11" s="1"/>
  <c r="D5" i="11"/>
  <c r="H3" i="7"/>
  <c r="H4" i="7"/>
  <c r="H5" i="7"/>
  <c r="H6" i="7"/>
  <c r="H7" i="7"/>
  <c r="H8" i="7"/>
  <c r="H9" i="7"/>
  <c r="F10" i="7"/>
  <c r="G10" i="7"/>
  <c r="E10" i="7"/>
  <c r="F5" i="6"/>
  <c r="E5" i="6"/>
  <c r="D5" i="6"/>
  <c r="E17" i="5"/>
  <c r="D17" i="5"/>
  <c r="E10" i="5"/>
  <c r="D10" i="5"/>
  <c r="E6" i="5"/>
  <c r="D6" i="5"/>
  <c r="E5" i="5"/>
  <c r="D5" i="5"/>
  <c r="E4" i="5"/>
  <c r="D4" i="5"/>
  <c r="D24" i="4"/>
  <c r="E24" i="4"/>
  <c r="C24" i="4"/>
  <c r="D23" i="4"/>
  <c r="E23" i="4"/>
  <c r="C23" i="4"/>
  <c r="D19" i="4"/>
  <c r="E19" i="4"/>
  <c r="C19" i="4"/>
  <c r="D18" i="4"/>
  <c r="E17" i="4"/>
  <c r="E18" i="4" s="1"/>
  <c r="D17" i="4"/>
  <c r="E16" i="4"/>
  <c r="D16" i="4"/>
  <c r="E15" i="4"/>
  <c r="D15" i="4"/>
  <c r="D11" i="4"/>
  <c r="E11" i="4"/>
  <c r="C11" i="4"/>
  <c r="D10" i="4"/>
  <c r="E10" i="4"/>
  <c r="C10" i="4"/>
  <c r="D9" i="4"/>
  <c r="E9" i="4"/>
  <c r="C9" i="4"/>
  <c r="E5" i="4"/>
  <c r="D5" i="4"/>
  <c r="E4" i="4"/>
  <c r="E3" i="4"/>
  <c r="D3" i="4"/>
  <c r="B25" i="2"/>
  <c r="B35" i="2" s="1"/>
  <c r="C25" i="2"/>
  <c r="C35" i="2" s="1"/>
  <c r="C8" i="3"/>
  <c r="D8" i="3"/>
  <c r="B8" i="3"/>
  <c r="G7" i="5" l="1"/>
  <c r="H7" i="5"/>
  <c r="E13" i="5"/>
  <c r="D13" i="5"/>
  <c r="D6" i="11"/>
  <c r="I3" i="7"/>
  <c r="I4" i="7"/>
  <c r="I5" i="7"/>
  <c r="I6" i="7"/>
  <c r="I7" i="7"/>
  <c r="I8" i="7"/>
  <c r="I9" i="7"/>
  <c r="H10" i="7"/>
  <c r="I10" i="7"/>
  <c r="D12" i="5"/>
  <c r="F10" i="5"/>
  <c r="F18" i="5" s="1"/>
  <c r="E12" i="5"/>
  <c r="P8" i="5" l="1"/>
  <c r="E14" i="5"/>
  <c r="D14" i="5"/>
  <c r="O4" i="5" s="1"/>
  <c r="F11" i="5"/>
  <c r="G10" i="5"/>
  <c r="F12" i="5" l="1"/>
  <c r="F13" i="5"/>
  <c r="P7" i="5"/>
  <c r="P4" i="5"/>
  <c r="G18" i="5"/>
  <c r="G11" i="5"/>
  <c r="H10" i="5"/>
  <c r="F14" i="5" l="1"/>
  <c r="F19" i="5" s="1"/>
  <c r="Q8" i="5"/>
  <c r="G12" i="5"/>
  <c r="R8" i="5" s="1"/>
  <c r="G13" i="5"/>
  <c r="H18" i="5"/>
  <c r="H11" i="5"/>
  <c r="G14" i="5" l="1"/>
  <c r="G17" i="5" s="1"/>
  <c r="G19" i="5" s="1"/>
  <c r="D3" i="6"/>
  <c r="D6" i="6" s="1"/>
  <c r="Q4" i="5"/>
  <c r="Q7" i="5"/>
  <c r="H13" i="5"/>
  <c r="H12" i="5"/>
  <c r="S8" i="5" l="1"/>
  <c r="H14" i="5"/>
  <c r="H17" i="5" s="1"/>
  <c r="H19" i="5" s="1"/>
  <c r="R4" i="5"/>
  <c r="R7" i="5"/>
  <c r="S7" i="5" l="1"/>
  <c r="S4" i="5"/>
  <c r="E3" i="6"/>
  <c r="E6" i="6" s="1"/>
  <c r="F3" i="6"/>
  <c r="F6" i="6" s="1"/>
  <c r="G6" i="6" l="1"/>
  <c r="F9" i="6" l="1"/>
  <c r="F10" i="6" s="1"/>
  <c r="F11" i="6" s="1"/>
  <c r="F12" i="6" l="1"/>
</calcChain>
</file>

<file path=xl/sharedStrings.xml><?xml version="1.0" encoding="utf-8"?>
<sst xmlns="http://schemas.openxmlformats.org/spreadsheetml/2006/main" count="293" uniqueCount="234">
  <si>
    <t>CASH, CASH EQUIVALENTS, AND RESTRICTED CASH, BEGINNING OF PERIOD</t>
  </si>
  <si>
    <t>54,253 </t>
  </si>
  <si>
    <t>73,890 </t>
  </si>
  <si>
    <t>82,312 </t>
  </si>
  <si>
    <t>OPERATING ACTIVITIES:</t>
  </si>
  <si>
    <t>Net income</t>
  </si>
  <si>
    <t>30,425 </t>
  </si>
  <si>
    <t>59,248 </t>
  </si>
  <si>
    <t>77,670 </t>
  </si>
  <si>
    <t>Adjustments to reconcile net income to net cash from operating activities:</t>
  </si>
  <si>
    <t>Depreciation and amortization of property and equipment and capitalized content costs, operating lease assets, and other</t>
  </si>
  <si>
    <t>48,663 </t>
  </si>
  <si>
    <t>52,795 </t>
  </si>
  <si>
    <t>65,756 </t>
  </si>
  <si>
    <t>Stock-based compensation</t>
  </si>
  <si>
    <t>24,023 </t>
  </si>
  <si>
    <t>22,011 </t>
  </si>
  <si>
    <t>19,467 </t>
  </si>
  <si>
    <t>Non-operating expense (income), net</t>
  </si>
  <si>
    <t>2,012 </t>
  </si>
  <si>
    <t>Deferred income taxes</t>
  </si>
  <si>
    <t>11,470 </t>
  </si>
  <si>
    <t>Changes in operating assets and liabilities:</t>
  </si>
  <si>
    <t>Inventories</t>
  </si>
  <si>
    <t>1,449 </t>
  </si>
  <si>
    <t>Accounts receivable, net and other</t>
  </si>
  <si>
    <t>Other assets</t>
  </si>
  <si>
    <t>Accounts payable</t>
  </si>
  <si>
    <t>5,473 </t>
  </si>
  <si>
    <t>2,972 </t>
  </si>
  <si>
    <t>11,231 </t>
  </si>
  <si>
    <t>Accrued expenses and other</t>
  </si>
  <si>
    <t>Unearned revenue</t>
  </si>
  <si>
    <t>4,578 </t>
  </si>
  <si>
    <t>4,007 </t>
  </si>
  <si>
    <t>Net cash provided by (used in) operating activities</t>
  </si>
  <si>
    <t>INVESTING ACTIVITIES:</t>
  </si>
  <si>
    <t>Purchases of property and equipment</t>
  </si>
  <si>
    <t>Proceeds from property and equipment sales and incentives</t>
  </si>
  <si>
    <t>4,596 </t>
  </si>
  <si>
    <t>5,341 </t>
  </si>
  <si>
    <t>3,499 </t>
  </si>
  <si>
    <t>Acquisitions, net of cash acquired, non-marketable investments, and other, net</t>
  </si>
  <si>
    <t>Sales and maturities of marketable securities</t>
  </si>
  <si>
    <t>5,627 </t>
  </si>
  <si>
    <t>16,403 </t>
  </si>
  <si>
    <t>44,386 </t>
  </si>
  <si>
    <t>Purchases of marketable securities</t>
  </si>
  <si>
    <t>Net cash provided by (used in) investing activities</t>
  </si>
  <si>
    <t>FINANCING ACTIVITIES:</t>
  </si>
  <si>
    <t>Proceeds from short-term debt, and other</t>
  </si>
  <si>
    <t>18,129 </t>
  </si>
  <si>
    <t>5,142 </t>
  </si>
  <si>
    <t>9,320 </t>
  </si>
  <si>
    <t>Repayments of short-term debt, and other</t>
  </si>
  <si>
    <t>Proceeds from long-term debt</t>
  </si>
  <si>
    <t>— </t>
  </si>
  <si>
    <t>15,673 </t>
  </si>
  <si>
    <t>Repayments of long-term debt</t>
  </si>
  <si>
    <t>Principal repayments of finance leases</t>
  </si>
  <si>
    <t>Principal repayments of financing obligations</t>
  </si>
  <si>
    <t>Net cash provided by (used in) financing activities</t>
  </si>
  <si>
    <t>9,661 </t>
  </si>
  <si>
    <t>Foreign currency effect on cash, cash equivalents, and restricted cash</t>
  </si>
  <si>
    <t>403 </t>
  </si>
  <si>
    <t>1,164 </t>
  </si>
  <si>
    <t>Net increase (decrease) in cash, cash equivalents, and restricted cash</t>
  </si>
  <si>
    <t>19,637 </t>
  </si>
  <si>
    <t>8,422 </t>
  </si>
  <si>
    <t>7,794 </t>
  </si>
  <si>
    <t>CASH, CASH EQUIVALENTS, AND RESTRICTED CASH, END OF PERIOD</t>
  </si>
  <si>
    <t>90,106 </t>
  </si>
  <si>
    <t>Current assets:</t>
  </si>
  <si>
    <t>Cash and cash equivalents</t>
  </si>
  <si>
    <t>Marketable securities</t>
  </si>
  <si>
    <t>22,423 </t>
  </si>
  <si>
    <t>36,219 </t>
  </si>
  <si>
    <t>55,451 </t>
  </si>
  <si>
    <t>67,729 </t>
  </si>
  <si>
    <t>Total current assets</t>
  </si>
  <si>
    <t>Property and equipment, net</t>
  </si>
  <si>
    <t>252,665 </t>
  </si>
  <si>
    <t>357,025 </t>
  </si>
  <si>
    <t>Operating leases</t>
  </si>
  <si>
    <t>76,141 </t>
  </si>
  <si>
    <t>86,054 </t>
  </si>
  <si>
    <t>Goodwill</t>
  </si>
  <si>
    <t>23,074 </t>
  </si>
  <si>
    <t>23,273 </t>
  </si>
  <si>
    <t>82,147 </t>
  </si>
  <si>
    <t>122,607 </t>
  </si>
  <si>
    <t>Total assets</t>
  </si>
  <si>
    <t>LIABILITIES AND STOCKHOLDERS’ EQUITY</t>
  </si>
  <si>
    <t>Current liabilities:</t>
  </si>
  <si>
    <t>66,965 </t>
  </si>
  <si>
    <t>75,520 </t>
  </si>
  <si>
    <t>18,103 </t>
  </si>
  <si>
    <t>20,576 </t>
  </si>
  <si>
    <t>Total current liabilities</t>
  </si>
  <si>
    <t>Long-term lease liabilities</t>
  </si>
  <si>
    <t>Long-term debt</t>
  </si>
  <si>
    <t>Other long-term liabilities</t>
  </si>
  <si>
    <t>Stockholders’ equity:</t>
  </si>
  <si>
    <t>Preferred stock ($0.01 par value; 500 shares authorized; no shares issued or outstanding)</t>
  </si>
  <si>
    <t>Common stock ($0.01 par value; 100,000 shares authorized; 11,108 and 11,246 shares issued; 10,593 and 10,731 shares outstanding)</t>
  </si>
  <si>
    <t>111 </t>
  </si>
  <si>
    <t>112 </t>
  </si>
  <si>
    <t>Treasury stock, at cost</t>
  </si>
  <si>
    <t>Additional paid-in capital</t>
  </si>
  <si>
    <t>120,864 </t>
  </si>
  <si>
    <t>140,024 </t>
  </si>
  <si>
    <t>Accumulated other comprehensive income (loss)</t>
  </si>
  <si>
    <t>28,230 </t>
  </si>
  <si>
    <t>Retained earnings</t>
  </si>
  <si>
    <t>172,866 </t>
  </si>
  <si>
    <t>250,536 </t>
  </si>
  <si>
    <t>Total stockholders’ equity</t>
  </si>
  <si>
    <t>Total liabilities and stockholders’ equity</t>
  </si>
  <si>
    <t>Assets</t>
  </si>
  <si>
    <t>$ in millions</t>
  </si>
  <si>
    <t>Net product sales</t>
  </si>
  <si>
    <t>Net service sales</t>
  </si>
  <si>
    <t>Total net sales</t>
  </si>
  <si>
    <t>Operating expenses:</t>
  </si>
  <si>
    <t>Cost of sales</t>
  </si>
  <si>
    <t>Fulfillment</t>
  </si>
  <si>
    <t>Technology and infrastructure</t>
  </si>
  <si>
    <t>Sales and marketing</t>
  </si>
  <si>
    <t>General and administrative</t>
  </si>
  <si>
    <t>Other operating expense (income), net</t>
  </si>
  <si>
    <t>Total operating expenses</t>
  </si>
  <si>
    <t>Operating income</t>
  </si>
  <si>
    <t>Interest income</t>
  </si>
  <si>
    <t>Interest expense</t>
  </si>
  <si>
    <t>Other income (expense), net</t>
  </si>
  <si>
    <t>Total non-operating income</t>
  </si>
  <si>
    <t>Income before income taxes</t>
  </si>
  <si>
    <t>Provision for income taxes</t>
  </si>
  <si>
    <t>Equity-method investment activity, net of tax</t>
  </si>
  <si>
    <t>Basic earnings per share</t>
  </si>
  <si>
    <t>Diluted earnings per share</t>
  </si>
  <si>
    <t>Weighted-average shares used in computation of earnings per share:</t>
  </si>
  <si>
    <t>Basic</t>
  </si>
  <si>
    <t>Diluted</t>
  </si>
  <si>
    <t>Particulars</t>
  </si>
  <si>
    <t>Gross profit</t>
  </si>
  <si>
    <t/>
  </si>
  <si>
    <t>Free Cash Flow</t>
  </si>
  <si>
    <t>Total Liabilities</t>
  </si>
  <si>
    <t>A. Revenue &amp; Profit Trends</t>
  </si>
  <si>
    <t>B. Profit Margins (2023–2025)</t>
  </si>
  <si>
    <t>2) Operating Profit Margin (EBIT Margin):</t>
  </si>
  <si>
    <t>3) Net Profit Margin:</t>
  </si>
  <si>
    <t>1) Gross profit Margin:</t>
  </si>
  <si>
    <t>3) Net Income YoY growth rate:</t>
  </si>
  <si>
    <t>2) Revenue 2 year CAGR:</t>
  </si>
  <si>
    <t>1) YoY Revenue Growth rate:</t>
  </si>
  <si>
    <t>C. Liquidity &amp; Leverage Ratios (2024–2025)</t>
  </si>
  <si>
    <t>1) Current Ratio:</t>
  </si>
  <si>
    <t>2) Quick Ratio:</t>
  </si>
  <si>
    <t>3) Total Debt:</t>
  </si>
  <si>
    <t>4) Debt to Equity Ratio:</t>
  </si>
  <si>
    <t>5) Interest Coverage Ratio:</t>
  </si>
  <si>
    <t>D. Cash Flow Analysis (2023–2025)</t>
  </si>
  <si>
    <t>1) Free cash flow margin:</t>
  </si>
  <si>
    <t>2) Free cash flow conersion:</t>
  </si>
  <si>
    <t>2024(Actual)</t>
  </si>
  <si>
    <t>2025(Actual)</t>
  </si>
  <si>
    <t>2026(Forecast)</t>
  </si>
  <si>
    <t>2027(Forecast)</t>
  </si>
  <si>
    <t>2028(Forecast)</t>
  </si>
  <si>
    <t>A) YoY Revenue Growth rate:</t>
  </si>
  <si>
    <t>1) Assumptions:</t>
  </si>
  <si>
    <t>B) COGS(As % of revenue):</t>
  </si>
  <si>
    <t>C) Operating expenses(As % of revenue):</t>
  </si>
  <si>
    <t>D) CapEx(As % of revenue):</t>
  </si>
  <si>
    <t>2) Income statement projections:</t>
  </si>
  <si>
    <t>A) Total revenue:</t>
  </si>
  <si>
    <t>B) COGS:</t>
  </si>
  <si>
    <t>C) Gross Profit:</t>
  </si>
  <si>
    <t>D) Operating Expenses:</t>
  </si>
  <si>
    <t>E) EBIT:</t>
  </si>
  <si>
    <t>3) Cash flow projections:</t>
  </si>
  <si>
    <t>A) Operating cash flow:</t>
  </si>
  <si>
    <t>B) CapEx:</t>
  </si>
  <si>
    <t>C) Free cash flow:</t>
  </si>
  <si>
    <t>1) Projected Free Cash Flows:</t>
  </si>
  <si>
    <t>2) Discount Period(t):</t>
  </si>
  <si>
    <t>3) Discount factor:</t>
  </si>
  <si>
    <t>4) Present Value of FCF:</t>
  </si>
  <si>
    <t>Terminal Value:</t>
  </si>
  <si>
    <t>PV of Terminal Value:</t>
  </si>
  <si>
    <t>Implied Enterprise value:</t>
  </si>
  <si>
    <t>Implied Equity value:</t>
  </si>
  <si>
    <t>Target Share Price:</t>
  </si>
  <si>
    <t>AWS</t>
  </si>
  <si>
    <t>Online stores:</t>
  </si>
  <si>
    <t>Physical stores:</t>
  </si>
  <si>
    <t>Third-party seller services:</t>
  </si>
  <si>
    <t>Advertising services:</t>
  </si>
  <si>
    <t>Subscription services:</t>
  </si>
  <si>
    <t>Other:</t>
  </si>
  <si>
    <t>Total Revenue</t>
  </si>
  <si>
    <t>AWS(Amazon Web Services):</t>
  </si>
  <si>
    <t>YoY Growth</t>
  </si>
  <si>
    <t>% of Total Revenue</t>
  </si>
  <si>
    <t>Segment</t>
  </si>
  <si>
    <t>Row Labels</t>
  </si>
  <si>
    <t>Grand Total</t>
  </si>
  <si>
    <t>Sum of YoY Growth</t>
  </si>
  <si>
    <t>Sum of 2025</t>
  </si>
  <si>
    <t>FY2023</t>
  </si>
  <si>
    <t>FY2024</t>
  </si>
  <si>
    <t>FY2025</t>
  </si>
  <si>
    <t>North America</t>
  </si>
  <si>
    <t>North America:</t>
  </si>
  <si>
    <t>Revenue</t>
  </si>
  <si>
    <t>Operating Expense</t>
  </si>
  <si>
    <t>Operating Income</t>
  </si>
  <si>
    <t>International</t>
  </si>
  <si>
    <t>Column Labels</t>
  </si>
  <si>
    <t>Values</t>
  </si>
  <si>
    <t>Guidance Target</t>
  </si>
  <si>
    <t>Actual Reported</t>
  </si>
  <si>
    <t>Dollar Variance</t>
  </si>
  <si>
    <t>% variance</t>
  </si>
  <si>
    <t>Favourable outcome</t>
  </si>
  <si>
    <t>Total revenue</t>
  </si>
  <si>
    <t>Operating profit margin</t>
  </si>
  <si>
    <t>YoY EBIT Growth rate</t>
  </si>
  <si>
    <t>YoY Gross profit growth rate</t>
  </si>
  <si>
    <t>YoY COGS</t>
  </si>
  <si>
    <t>Operating Income(2025 in millions)</t>
  </si>
  <si>
    <t>Revenue(2025 in 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</si>
</sst>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6" formatCode="0.000"/>
    <numFmt numFmtId="167" formatCode="[$$-409]#,##0"/>
  </numFmts>
  <fonts count="2" x14ac:knownFonts="1">
    <font>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3" tint="0.249977111117893"/>
        <bgColor indexed="64"/>
      </patternFill>
    </fill>
  </fills>
  <borders count="8">
    <border>
      <left/>
      <right/>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0" fontId="0" fillId="0" borderId="0" xfId="0" applyAlignment="1">
      <alignment horizontal="right"/>
    </xf>
    <xf numFmtId="3" fontId="0" fillId="0" borderId="0" xfId="0" applyNumberFormat="1" applyAlignment="1">
      <alignment horizontal="right"/>
    </xf>
    <xf numFmtId="0" fontId="0" fillId="2" borderId="0" xfId="0" applyFill="1"/>
    <xf numFmtId="2" fontId="0" fillId="0" borderId="0" xfId="0" applyNumberFormat="1" applyAlignment="1">
      <alignment horizontal="right"/>
    </xf>
    <xf numFmtId="2" fontId="0" fillId="0" borderId="0" xfId="0" applyNumberFormat="1"/>
    <xf numFmtId="1" fontId="0" fillId="0" borderId="0" xfId="0" applyNumberFormat="1" applyAlignment="1">
      <alignment horizontal="right"/>
    </xf>
    <xf numFmtId="1" fontId="0" fillId="2" borderId="1" xfId="0" applyNumberFormat="1" applyFill="1" applyBorder="1" applyAlignment="1">
      <alignment horizontal="right"/>
    </xf>
    <xf numFmtId="1" fontId="0" fillId="2" borderId="0" xfId="0" applyNumberFormat="1" applyFill="1" applyAlignment="1">
      <alignment horizontal="right"/>
    </xf>
    <xf numFmtId="1" fontId="0" fillId="0" borderId="0" xfId="0" applyNumberFormat="1"/>
    <xf numFmtId="1" fontId="0" fillId="0" borderId="1" xfId="0" applyNumberFormat="1" applyBorder="1" applyAlignment="1">
      <alignment horizontal="right"/>
    </xf>
    <xf numFmtId="164" fontId="0" fillId="0" borderId="0" xfId="0" applyNumberFormat="1" applyAlignment="1">
      <alignment horizontal="right"/>
    </xf>
    <xf numFmtId="1" fontId="0" fillId="0" borderId="2" xfId="0" applyNumberFormat="1" applyBorder="1" applyAlignment="1">
      <alignment horizontal="right"/>
    </xf>
    <xf numFmtId="1" fontId="0" fillId="0" borderId="3" xfId="0" applyNumberFormat="1" applyBorder="1" applyAlignment="1">
      <alignment horizontal="right"/>
    </xf>
    <xf numFmtId="1" fontId="0" fillId="0" borderId="4" xfId="0" applyNumberFormat="1" applyBorder="1" applyAlignment="1">
      <alignment horizontal="right"/>
    </xf>
    <xf numFmtId="1" fontId="0" fillId="2" borderId="0" xfId="0" applyNumberFormat="1" applyFill="1"/>
    <xf numFmtId="3" fontId="0" fillId="2" borderId="0" xfId="0" applyNumberFormat="1" applyFill="1" applyAlignment="1">
      <alignment horizontal="right"/>
    </xf>
    <xf numFmtId="3" fontId="0" fillId="2" borderId="2" xfId="0" applyNumberFormat="1" applyFill="1" applyBorder="1" applyAlignment="1">
      <alignment horizontal="right"/>
    </xf>
    <xf numFmtId="3" fontId="0" fillId="2" borderId="4" xfId="0" applyNumberFormat="1" applyFill="1" applyBorder="1" applyAlignment="1">
      <alignment horizontal="right"/>
    </xf>
    <xf numFmtId="3" fontId="0" fillId="0" borderId="2" xfId="0" applyNumberFormat="1" applyBorder="1" applyAlignment="1">
      <alignment horizontal="right"/>
    </xf>
    <xf numFmtId="3" fontId="0" fillId="0" borderId="5" xfId="0" applyNumberFormat="1" applyBorder="1" applyAlignment="1">
      <alignment horizontal="right"/>
    </xf>
    <xf numFmtId="10" fontId="0" fillId="0" borderId="0" xfId="0" applyNumberFormat="1"/>
    <xf numFmtId="10" fontId="0" fillId="0" borderId="0" xfId="1" applyNumberFormat="1" applyFont="1"/>
    <xf numFmtId="166" fontId="0" fillId="0" borderId="0" xfId="0" applyNumberFormat="1"/>
    <xf numFmtId="3" fontId="0" fillId="0" borderId="0" xfId="0" applyNumberFormat="1"/>
    <xf numFmtId="0" fontId="0" fillId="3" borderId="0" xfId="0" applyFill="1"/>
    <xf numFmtId="1" fontId="0" fillId="0" borderId="1" xfId="0" applyNumberFormat="1" applyBorder="1"/>
    <xf numFmtId="1" fontId="0" fillId="0" borderId="7" xfId="0" applyNumberFormat="1" applyBorder="1"/>
    <xf numFmtId="0" fontId="0" fillId="0" borderId="1" xfId="0" applyBorder="1"/>
    <xf numFmtId="0" fontId="0" fillId="0" borderId="6" xfId="0" applyBorder="1"/>
    <xf numFmtId="0" fontId="0" fillId="0" borderId="2" xfId="0" applyBorder="1"/>
    <xf numFmtId="0" fontId="0" fillId="0" borderId="3" xfId="0" applyBorder="1"/>
    <xf numFmtId="1" fontId="0" fillId="0" borderId="3" xfId="0" applyNumberFormat="1" applyBorder="1"/>
    <xf numFmtId="1" fontId="0" fillId="0" borderId="4" xfId="0" applyNumberFormat="1" applyBorder="1"/>
    <xf numFmtId="167" fontId="0" fillId="0" borderId="0" xfId="0" applyNumberFormat="1"/>
    <xf numFmtId="0" fontId="0" fillId="4" borderId="0" xfId="0" applyFill="1"/>
    <xf numFmtId="0" fontId="0" fillId="0" borderId="0" xfId="0" pivotButton="1"/>
    <xf numFmtId="0" fontId="0" fillId="0" borderId="0" xfId="0" applyAlignment="1">
      <alignment horizontal="left"/>
    </xf>
  </cellXfs>
  <cellStyles count="2">
    <cellStyle name="Normal" xfId="0" builtinId="0"/>
    <cellStyle name="Percent" xfId="1" builtinId="5"/>
  </cellStyles>
  <dxfs count="0"/>
  <tableStyles count="0" defaultTableStyle="TableStyleMedium2" defaultPivotStyle="PivotStyleLight16"/>
  <colors>
    <mruColors>
      <color rgb="FF56D5F8"/>
      <color rgb="FFF3F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&amp; Operating Margin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 Financial_Models'!$M$3:$N$3</c:f>
              <c:strCache>
                <c:ptCount val="2"/>
                <c:pt idx="0">
                  <c:v>Total revenue</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 Financial_Models'!$O$2:$S$2</c:f>
              <c:numCache>
                <c:formatCode>General</c:formatCode>
                <c:ptCount val="5"/>
                <c:pt idx="0">
                  <c:v>2024</c:v>
                </c:pt>
                <c:pt idx="1">
                  <c:v>2025</c:v>
                </c:pt>
                <c:pt idx="2">
                  <c:v>2026</c:v>
                </c:pt>
                <c:pt idx="3">
                  <c:v>2027</c:v>
                </c:pt>
                <c:pt idx="4">
                  <c:v>2028</c:v>
                </c:pt>
              </c:numCache>
            </c:numRef>
          </c:cat>
          <c:val>
            <c:numRef>
              <c:f>'2) Financial_Models'!$O$3:$S$3</c:f>
              <c:numCache>
                <c:formatCode>0</c:formatCode>
                <c:ptCount val="5"/>
                <c:pt idx="0">
                  <c:v>637959</c:v>
                </c:pt>
                <c:pt idx="1">
                  <c:v>716924</c:v>
                </c:pt>
                <c:pt idx="2">
                  <c:v>802954.88000000012</c:v>
                </c:pt>
                <c:pt idx="3">
                  <c:v>891279.91680000024</c:v>
                </c:pt>
                <c:pt idx="4">
                  <c:v>980407.90848000033</c:v>
                </c:pt>
              </c:numCache>
            </c:numRef>
          </c:val>
          <c:extLst>
            <c:ext xmlns:c16="http://schemas.microsoft.com/office/drawing/2014/chart" uri="{C3380CC4-5D6E-409C-BE32-E72D297353CC}">
              <c16:uniqueId val="{00000000-85A3-4364-91C8-BE8CE9C196DB}"/>
            </c:ext>
          </c:extLst>
        </c:ser>
        <c:dLbls>
          <c:showLegendKey val="0"/>
          <c:showVal val="0"/>
          <c:showCatName val="0"/>
          <c:showSerName val="0"/>
          <c:showPercent val="0"/>
          <c:showBubbleSize val="0"/>
        </c:dLbls>
        <c:gapWidth val="219"/>
        <c:overlap val="-27"/>
        <c:axId val="158087600"/>
        <c:axId val="158082800"/>
      </c:barChart>
      <c:lineChart>
        <c:grouping val="standard"/>
        <c:varyColors val="0"/>
        <c:ser>
          <c:idx val="1"/>
          <c:order val="1"/>
          <c:tx>
            <c:strRef>
              <c:f>'2) Financial_Models'!$M$4:$N$4</c:f>
              <c:strCache>
                <c:ptCount val="2"/>
                <c:pt idx="0">
                  <c:v>Operating profit margin</c:v>
                </c:pt>
              </c:strCache>
            </c:strRef>
          </c:tx>
          <c:spPr>
            <a:ln w="28575" cap="rnd">
              <a:solidFill>
                <a:schemeClr val="accent2"/>
              </a:solidFill>
              <a:round/>
            </a:ln>
            <a:effectLst/>
          </c:spPr>
          <c:marker>
            <c:symbol val="none"/>
          </c:marker>
          <c:dLbls>
            <c:dLbl>
              <c:idx val="4"/>
              <c:layout>
                <c:manualLayout>
                  <c:x val="0"/>
                  <c:y val="4.92610837438423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A3-4364-91C8-BE8CE9C196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 Financial_Models'!$O$2:$S$2</c:f>
              <c:numCache>
                <c:formatCode>General</c:formatCode>
                <c:ptCount val="5"/>
                <c:pt idx="0">
                  <c:v>2024</c:v>
                </c:pt>
                <c:pt idx="1">
                  <c:v>2025</c:v>
                </c:pt>
                <c:pt idx="2">
                  <c:v>2026</c:v>
                </c:pt>
                <c:pt idx="3">
                  <c:v>2027</c:v>
                </c:pt>
                <c:pt idx="4">
                  <c:v>2028</c:v>
                </c:pt>
              </c:numCache>
            </c:numRef>
          </c:cat>
          <c:val>
            <c:numRef>
              <c:f>'2) Financial_Models'!$O$4:$S$4</c:f>
              <c:numCache>
                <c:formatCode>0.00%</c:formatCode>
                <c:ptCount val="5"/>
                <c:pt idx="0">
                  <c:v>0.1075194487420038</c:v>
                </c:pt>
                <c:pt idx="1">
                  <c:v>0.11155296795755199</c:v>
                </c:pt>
                <c:pt idx="2">
                  <c:v>0.11334475204542198</c:v>
                </c:pt>
                <c:pt idx="3">
                  <c:v>0.11513292253551757</c:v>
                </c:pt>
                <c:pt idx="4">
                  <c:v>0.11691748671559699</c:v>
                </c:pt>
              </c:numCache>
            </c:numRef>
          </c:val>
          <c:smooth val="0"/>
          <c:extLst>
            <c:ext xmlns:c16="http://schemas.microsoft.com/office/drawing/2014/chart" uri="{C3380CC4-5D6E-409C-BE32-E72D297353CC}">
              <c16:uniqueId val="{00000001-85A3-4364-91C8-BE8CE9C196DB}"/>
            </c:ext>
          </c:extLst>
        </c:ser>
        <c:dLbls>
          <c:showLegendKey val="0"/>
          <c:showVal val="0"/>
          <c:showCatName val="0"/>
          <c:showSerName val="0"/>
          <c:showPercent val="0"/>
          <c:showBubbleSize val="0"/>
        </c:dLbls>
        <c:marker val="1"/>
        <c:smooth val="0"/>
        <c:axId val="158085680"/>
        <c:axId val="158085200"/>
      </c:lineChart>
      <c:catAx>
        <c:axId val="15808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2800"/>
        <c:crosses val="autoZero"/>
        <c:auto val="1"/>
        <c:lblAlgn val="ctr"/>
        <c:lblOffset val="100"/>
        <c:noMultiLvlLbl val="0"/>
      </c:catAx>
      <c:valAx>
        <c:axId val="158082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7600"/>
        <c:crosses val="autoZero"/>
        <c:crossBetween val="between"/>
      </c:valAx>
      <c:valAx>
        <c:axId val="1580852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5680"/>
        <c:crosses val="max"/>
        <c:crossBetween val="between"/>
      </c:valAx>
      <c:catAx>
        <c:axId val="158085680"/>
        <c:scaling>
          <c:orientation val="minMax"/>
        </c:scaling>
        <c:delete val="1"/>
        <c:axPos val="b"/>
        <c:numFmt formatCode="General" sourceLinked="1"/>
        <c:majorTickMark val="out"/>
        <c:minorTickMark val="none"/>
        <c:tickLblPos val="nextTo"/>
        <c:crossAx val="1580852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6D5F8"/>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Free Cash Flow Trajectory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713648293963255"/>
          <c:y val="0.17171296296296296"/>
          <c:w val="0.70601027996500443"/>
          <c:h val="0.77736111111111106"/>
        </c:manualLayout>
      </c:layout>
      <c:barChart>
        <c:barDir val="col"/>
        <c:grouping val="clustered"/>
        <c:varyColors val="0"/>
        <c:ser>
          <c:idx val="0"/>
          <c:order val="0"/>
          <c:tx>
            <c:strRef>
              <c:f>'2) Financial_Models'!$B$17:$C$17</c:f>
              <c:strCache>
                <c:ptCount val="2"/>
                <c:pt idx="0">
                  <c:v>A) Operating cash flow:</c:v>
                </c:pt>
              </c:strCache>
            </c:strRef>
          </c:tx>
          <c:spPr>
            <a:solidFill>
              <a:schemeClr val="accent1"/>
            </a:solidFill>
            <a:ln>
              <a:noFill/>
            </a:ln>
            <a:effectLst/>
          </c:spPr>
          <c:invertIfNegative val="0"/>
          <c:dLbls>
            <c:dLbl>
              <c:idx val="3"/>
              <c:layout>
                <c:manualLayout>
                  <c:x val="-1.4935893762975768E-2"/>
                  <c:y val="-2.31480666124897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36-4506-923C-8F71768800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 Financial_Models'!$D$16:$H$16</c:f>
              <c:numCache>
                <c:formatCode>General</c:formatCode>
                <c:ptCount val="5"/>
                <c:pt idx="0">
                  <c:v>2024</c:v>
                </c:pt>
                <c:pt idx="1">
                  <c:v>2025</c:v>
                </c:pt>
                <c:pt idx="2">
                  <c:v>2026</c:v>
                </c:pt>
                <c:pt idx="3">
                  <c:v>2027</c:v>
                </c:pt>
                <c:pt idx="4">
                  <c:v>2028</c:v>
                </c:pt>
              </c:numCache>
            </c:numRef>
          </c:cat>
          <c:val>
            <c:numRef>
              <c:f>'2) Financial_Models'!$D$17:$H$17</c:f>
              <c:numCache>
                <c:formatCode>0</c:formatCode>
                <c:ptCount val="5"/>
                <c:pt idx="0">
                  <c:v>115877</c:v>
                </c:pt>
                <c:pt idx="1">
                  <c:v>139514</c:v>
                </c:pt>
                <c:pt idx="2">
                  <c:v>159422.64291348969</c:v>
                </c:pt>
                <c:pt idx="3">
                  <c:v>182260.96425032199</c:v>
                </c:pt>
                <c:pt idx="4">
                  <c:v>208475.4054254244</c:v>
                </c:pt>
              </c:numCache>
            </c:numRef>
          </c:val>
          <c:extLst>
            <c:ext xmlns:c16="http://schemas.microsoft.com/office/drawing/2014/chart" uri="{C3380CC4-5D6E-409C-BE32-E72D297353CC}">
              <c16:uniqueId val="{00000001-1D36-4506-923C-8F71768800CC}"/>
            </c:ext>
          </c:extLst>
        </c:ser>
        <c:ser>
          <c:idx val="1"/>
          <c:order val="1"/>
          <c:tx>
            <c:strRef>
              <c:f>'2) Financial_Models'!$B$18:$C$18</c:f>
              <c:strCache>
                <c:ptCount val="2"/>
                <c:pt idx="0">
                  <c:v>B) CapEx:</c:v>
                </c:pt>
              </c:strCache>
            </c:strRef>
          </c:tx>
          <c:spPr>
            <a:solidFill>
              <a:schemeClr val="accent2"/>
            </a:solidFill>
            <a:ln>
              <a:noFill/>
            </a:ln>
            <a:effectLst/>
          </c:spPr>
          <c:invertIfNegative val="0"/>
          <c:dLbls>
            <c:dLbl>
              <c:idx val="0"/>
              <c:layout>
                <c:manualLayout>
                  <c:x val="4.1666666666666664E-2"/>
                  <c:y val="1.85185185185184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36-4506-923C-8F71768800CC}"/>
                </c:ext>
              </c:extLst>
            </c:dLbl>
            <c:dLbl>
              <c:idx val="1"/>
              <c:layout>
                <c:manualLayout>
                  <c:x val="1.1520714293551341E-2"/>
                  <c:y val="-0.1092646778861596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36-4506-923C-8F71768800CC}"/>
                </c:ext>
              </c:extLst>
            </c:dLbl>
            <c:dLbl>
              <c:idx val="2"/>
              <c:layout>
                <c:manualLayout>
                  <c:x val="-2.45916328468734E-3"/>
                  <c:y val="-0.1287201575995753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36-4506-923C-8F71768800CC}"/>
                </c:ext>
              </c:extLst>
            </c:dLbl>
            <c:dLbl>
              <c:idx val="3"/>
              <c:layout>
                <c:manualLayout>
                  <c:x val="0"/>
                  <c:y val="-0.117159752396239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3F-40D6-BEAE-0FFDAF581A7A}"/>
                </c:ext>
              </c:extLst>
            </c:dLbl>
            <c:dLbl>
              <c:idx val="4"/>
              <c:layout>
                <c:manualLayout>
                  <c:x val="2.2540867192747834E-2"/>
                  <c:y val="-8.10322805728667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36-4506-923C-8F71768800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 Financial_Models'!$D$16:$H$16</c:f>
              <c:numCache>
                <c:formatCode>General</c:formatCode>
                <c:ptCount val="5"/>
                <c:pt idx="0">
                  <c:v>2024</c:v>
                </c:pt>
                <c:pt idx="1">
                  <c:v>2025</c:v>
                </c:pt>
                <c:pt idx="2">
                  <c:v>2026</c:v>
                </c:pt>
                <c:pt idx="3">
                  <c:v>2027</c:v>
                </c:pt>
                <c:pt idx="4">
                  <c:v>2028</c:v>
                </c:pt>
              </c:numCache>
            </c:numRef>
          </c:cat>
          <c:val>
            <c:numRef>
              <c:f>'2) Financial_Models'!$D$18:$H$18</c:f>
              <c:numCache>
                <c:formatCode>0</c:formatCode>
                <c:ptCount val="5"/>
                <c:pt idx="0">
                  <c:v>82999</c:v>
                </c:pt>
                <c:pt idx="1">
                  <c:v>131819</c:v>
                </c:pt>
                <c:pt idx="2">
                  <c:v>152233.78203406685</c:v>
                </c:pt>
                <c:pt idx="3">
                  <c:v>175945.30447127341</c:v>
                </c:pt>
                <c:pt idx="4">
                  <c:v>203507.30350465362</c:v>
                </c:pt>
              </c:numCache>
            </c:numRef>
          </c:val>
          <c:extLst>
            <c:ext xmlns:c16="http://schemas.microsoft.com/office/drawing/2014/chart" uri="{C3380CC4-5D6E-409C-BE32-E72D297353CC}">
              <c16:uniqueId val="{00000006-1D36-4506-923C-8F71768800CC}"/>
            </c:ext>
          </c:extLst>
        </c:ser>
        <c:ser>
          <c:idx val="2"/>
          <c:order val="2"/>
          <c:tx>
            <c:strRef>
              <c:f>'2) Financial_Models'!$B$19:$C$19</c:f>
              <c:strCache>
                <c:ptCount val="2"/>
                <c:pt idx="0">
                  <c:v>C) Free cash flow:</c:v>
                </c:pt>
              </c:strCache>
            </c:strRef>
          </c:tx>
          <c:spPr>
            <a:solidFill>
              <a:schemeClr val="accent3"/>
            </a:solidFill>
            <a:ln>
              <a:noFill/>
            </a:ln>
            <a:effectLst/>
          </c:spPr>
          <c:invertIfNegative val="0"/>
          <c:dLbls>
            <c:dLbl>
              <c:idx val="1"/>
              <c:layout>
                <c:manualLayout>
                  <c:x val="1.3888932911850668E-2"/>
                  <c:y val="-7.03809746651470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36-4506-923C-8F71768800CC}"/>
                </c:ext>
              </c:extLst>
            </c:dLbl>
            <c:dLbl>
              <c:idx val="2"/>
              <c:layout>
                <c:manualLayout>
                  <c:x val="1.6666768258116998E-2"/>
                  <c:y val="-6.18170747968993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D36-4506-923C-8F71768800CC}"/>
                </c:ext>
              </c:extLst>
            </c:dLbl>
            <c:dLbl>
              <c:idx val="3"/>
              <c:layout>
                <c:manualLayout>
                  <c:x val="3.0965074078453795E-3"/>
                  <c:y val="-2.66272164536908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3F-40D6-BEAE-0FFDAF581A7A}"/>
                </c:ext>
              </c:extLst>
            </c:dLbl>
            <c:dLbl>
              <c:idx val="4"/>
              <c:layout>
                <c:manualLayout>
                  <c:x val="4.644761111768058E-2"/>
                  <c:y val="-2.66267971274473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3F-40D6-BEAE-0FFDAF581A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 Financial_Models'!$D$16:$H$16</c:f>
              <c:numCache>
                <c:formatCode>General</c:formatCode>
                <c:ptCount val="5"/>
                <c:pt idx="0">
                  <c:v>2024</c:v>
                </c:pt>
                <c:pt idx="1">
                  <c:v>2025</c:v>
                </c:pt>
                <c:pt idx="2">
                  <c:v>2026</c:v>
                </c:pt>
                <c:pt idx="3">
                  <c:v>2027</c:v>
                </c:pt>
                <c:pt idx="4">
                  <c:v>2028</c:v>
                </c:pt>
              </c:numCache>
            </c:numRef>
          </c:cat>
          <c:val>
            <c:numRef>
              <c:f>'2) Financial_Models'!$D$19:$H$19</c:f>
              <c:numCache>
                <c:formatCode>0</c:formatCode>
                <c:ptCount val="5"/>
                <c:pt idx="0">
                  <c:v>32878</c:v>
                </c:pt>
                <c:pt idx="1">
                  <c:v>7695</c:v>
                </c:pt>
                <c:pt idx="2">
                  <c:v>7188.8608794228348</c:v>
                </c:pt>
                <c:pt idx="3">
                  <c:v>6315.659779048583</c:v>
                </c:pt>
                <c:pt idx="4">
                  <c:v>4968.1019207707723</c:v>
                </c:pt>
              </c:numCache>
            </c:numRef>
          </c:val>
          <c:extLst>
            <c:ext xmlns:c16="http://schemas.microsoft.com/office/drawing/2014/chart" uri="{C3380CC4-5D6E-409C-BE32-E72D297353CC}">
              <c16:uniqueId val="{00000009-1D36-4506-923C-8F71768800CC}"/>
            </c:ext>
          </c:extLst>
        </c:ser>
        <c:dLbls>
          <c:dLblPos val="outEnd"/>
          <c:showLegendKey val="0"/>
          <c:showVal val="1"/>
          <c:showCatName val="0"/>
          <c:showSerName val="0"/>
          <c:showPercent val="0"/>
          <c:showBubbleSize val="0"/>
        </c:dLbls>
        <c:gapWidth val="219"/>
        <c:overlap val="-27"/>
        <c:axId val="259396608"/>
        <c:axId val="259397088"/>
      </c:barChart>
      <c:catAx>
        <c:axId val="25939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397088"/>
        <c:crosses val="autoZero"/>
        <c:auto val="1"/>
        <c:lblAlgn val="ctr"/>
        <c:lblOffset val="100"/>
        <c:noMultiLvlLbl val="0"/>
      </c:catAx>
      <c:valAx>
        <c:axId val="259397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396608"/>
        <c:crosses val="autoZero"/>
        <c:crossBetween val="between"/>
      </c:valAx>
      <c:spPr>
        <a:noFill/>
        <a:ln>
          <a:noFill/>
        </a:ln>
        <a:effectLst/>
      </c:spPr>
    </c:plotArea>
    <c:legend>
      <c:legendPos val="r"/>
      <c:layout>
        <c:manualLayout>
          <c:xMode val="edge"/>
          <c:yMode val="edge"/>
          <c:x val="0.82314676290463717"/>
          <c:y val="0.21172353455818022"/>
          <c:w val="0.16018657042869638"/>
          <c:h val="0.544561825605132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6D5F8"/>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EBIT</a:t>
            </a:r>
            <a:r>
              <a:rPr lang="en-IN" baseline="0"/>
              <a:t> Vs Gross profit YoY change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'2) Financial_Models'!$M$7:$O$7</c:f>
              <c:strCache>
                <c:ptCount val="3"/>
                <c:pt idx="0">
                  <c:v>YoY EBIT Growth rate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 Financial_Models'!$P$6:$S$6</c:f>
              <c:numCache>
                <c:formatCode>General</c:formatCode>
                <c:ptCount val="4"/>
                <c:pt idx="0">
                  <c:v>2025</c:v>
                </c:pt>
                <c:pt idx="1">
                  <c:v>2026</c:v>
                </c:pt>
                <c:pt idx="2">
                  <c:v>2027</c:v>
                </c:pt>
                <c:pt idx="3">
                  <c:v>2028</c:v>
                </c:pt>
              </c:numCache>
            </c:numRef>
          </c:cat>
          <c:val>
            <c:numRef>
              <c:f>'2) Financial_Models'!$P$7:$S$7</c:f>
              <c:numCache>
                <c:formatCode>0.00%</c:formatCode>
                <c:ptCount val="4"/>
                <c:pt idx="0">
                  <c:v>0.16593529952035921</c:v>
                </c:pt>
                <c:pt idx="1">
                  <c:v>0.14269996497476728</c:v>
                </c:pt>
                <c:pt idx="2">
                  <c:v>0.14325644663428055</c:v>
                </c:pt>
                <c:pt idx="3">
                  <c:v>0.14382915882689382</c:v>
                </c:pt>
              </c:numCache>
            </c:numRef>
          </c:val>
          <c:smooth val="0"/>
          <c:extLst>
            <c:ext xmlns:c16="http://schemas.microsoft.com/office/drawing/2014/chart" uri="{C3380CC4-5D6E-409C-BE32-E72D297353CC}">
              <c16:uniqueId val="{00000000-CC8A-485B-85F6-436BC07042DE}"/>
            </c:ext>
          </c:extLst>
        </c:ser>
        <c:ser>
          <c:idx val="1"/>
          <c:order val="1"/>
          <c:tx>
            <c:strRef>
              <c:f>'2) Financial_Models'!$M$8:$O$8</c:f>
              <c:strCache>
                <c:ptCount val="3"/>
                <c:pt idx="0">
                  <c:v>YoY Gross profit growth rate</c:v>
                </c:pt>
              </c:strCache>
            </c:strRef>
          </c:tx>
          <c:spPr>
            <a:ln w="28575" cap="rnd">
              <a:solidFill>
                <a:schemeClr val="accent2"/>
              </a:solidFill>
              <a:round/>
            </a:ln>
            <a:effectLst/>
          </c:spPr>
          <c:marker>
            <c:symbol val="none"/>
          </c:marker>
          <c:dLbls>
            <c:dLbl>
              <c:idx val="0"/>
              <c:layout>
                <c:manualLayout>
                  <c:x val="-6.1701443569553829E-2"/>
                  <c:y val="7.64235199766695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8A-485B-85F6-436BC07042DE}"/>
                </c:ext>
              </c:extLst>
            </c:dLbl>
            <c:dLbl>
              <c:idx val="1"/>
              <c:layout>
                <c:manualLayout>
                  <c:x val="-7.0034776902887133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8A-485B-85F6-436BC07042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 Financial_Models'!$P$6:$S$6</c:f>
              <c:numCache>
                <c:formatCode>General</c:formatCode>
                <c:ptCount val="4"/>
                <c:pt idx="0">
                  <c:v>2025</c:v>
                </c:pt>
                <c:pt idx="1">
                  <c:v>2026</c:v>
                </c:pt>
                <c:pt idx="2">
                  <c:v>2027</c:v>
                </c:pt>
                <c:pt idx="3">
                  <c:v>2028</c:v>
                </c:pt>
              </c:numCache>
            </c:numRef>
          </c:cat>
          <c:val>
            <c:numRef>
              <c:f>'2) Financial_Models'!$P$8:$S$8</c:f>
              <c:numCache>
                <c:formatCode>0.00%</c:formatCode>
                <c:ptCount val="4"/>
                <c:pt idx="0">
                  <c:v>0.15670049507333053</c:v>
                </c:pt>
                <c:pt idx="1">
                  <c:v>0.1325927125316535</c:v>
                </c:pt>
                <c:pt idx="2">
                  <c:v>0.13335056310588045</c:v>
                </c:pt>
                <c:pt idx="3">
                  <c:v>0.13411663558558076</c:v>
                </c:pt>
              </c:numCache>
            </c:numRef>
          </c:val>
          <c:smooth val="0"/>
          <c:extLst>
            <c:ext xmlns:c16="http://schemas.microsoft.com/office/drawing/2014/chart" uri="{C3380CC4-5D6E-409C-BE32-E72D297353CC}">
              <c16:uniqueId val="{00000003-CC8A-485B-85F6-436BC07042DE}"/>
            </c:ext>
          </c:extLst>
        </c:ser>
        <c:dLbls>
          <c:dLblPos val="t"/>
          <c:showLegendKey val="0"/>
          <c:showVal val="1"/>
          <c:showCatName val="0"/>
          <c:showSerName val="0"/>
          <c:showPercent val="0"/>
          <c:showBubbleSize val="0"/>
        </c:dLbls>
        <c:smooth val="0"/>
        <c:axId val="166368736"/>
        <c:axId val="166374016"/>
      </c:lineChart>
      <c:catAx>
        <c:axId val="16636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74016"/>
        <c:crosses val="autoZero"/>
        <c:auto val="1"/>
        <c:lblAlgn val="ctr"/>
        <c:lblOffset val="100"/>
        <c:noMultiLvlLbl val="0"/>
      </c:catAx>
      <c:valAx>
        <c:axId val="166374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6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6D5F8"/>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financials.xlsx]4) Dashboard_Data!PivotTable4</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Amazon Revenue Mix by Business Segment (FY2025)</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3235294117647059"/>
              <c:y val="-3.83141762452114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274509803921559"/>
              <c:y val="-5.36398467432950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lumMod val="60000"/>
            </a:schemeClr>
          </a:solidFill>
          <a:ln w="19050">
            <a:solidFill>
              <a:schemeClr val="lt1"/>
            </a:solidFill>
          </a:ln>
          <a:effectLst/>
        </c:spPr>
        <c:dLbl>
          <c:idx val="0"/>
          <c:layout>
            <c:manualLayout>
              <c:x val="-0.12990196078431374"/>
              <c:y val="-7.662835249042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0.14950980392156865"/>
              <c:y val="-1.5325670498084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dLbl>
          <c:idx val="0"/>
          <c:layout>
            <c:manualLayout>
              <c:x val="-0.16176470588235295"/>
              <c:y val="3.0651340996168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dLbl>
          <c:idx val="0"/>
          <c:layout>
            <c:manualLayout>
              <c:x val="-5.8823529411764705E-2"/>
              <c:y val="0.10727969348659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3"/>
          </a:solidFill>
          <a:ln w="19050">
            <a:solidFill>
              <a:schemeClr val="lt1"/>
            </a:solidFill>
          </a:ln>
          <a:effectLst/>
        </c:spPr>
        <c:dLbl>
          <c:idx val="0"/>
          <c:layout>
            <c:manualLayout>
              <c:x val="0.17647058823529413"/>
              <c:y val="-7.66283524904214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274509803921559"/>
              <c:y val="-5.36398467432950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235294117647059"/>
              <c:y val="-3.83141762452114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7647058823529413"/>
              <c:y val="-7.66283524904214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5.8823529411764705E-2"/>
              <c:y val="0.10727969348659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6176470588235295"/>
              <c:y val="3.0651340996168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950980392156865"/>
              <c:y val="-1.5325670498084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2990196078431374"/>
              <c:y val="-7.662835249042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56789408676856"/>
          <c:y val="0.16779195703985278"/>
          <c:w val="0.47204068241469815"/>
          <c:h val="0.73790267595860859"/>
        </c:manualLayout>
      </c:layout>
      <c:doughnutChart>
        <c:varyColors val="1"/>
        <c:ser>
          <c:idx val="0"/>
          <c:order val="0"/>
          <c:tx>
            <c:strRef>
              <c:f>'4) Dashboard_Data'!$S$2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AA-4476-A2AE-8A3A0019A5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AA-4476-A2AE-8A3A0019A5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AA-4476-A2AE-8A3A0019A5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AA-4476-A2AE-8A3A0019A58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AA-4476-A2AE-8A3A0019A58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AA-4476-A2AE-8A3A0019A58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AA-4476-A2AE-8A3A0019A583}"/>
              </c:ext>
            </c:extLst>
          </c:dPt>
          <c:dLbls>
            <c:dLbl>
              <c:idx val="0"/>
              <c:layout>
                <c:manualLayout>
                  <c:x val="0.11274509803921559"/>
                  <c:y val="-5.36398467432950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3AA-4476-A2AE-8A3A0019A583}"/>
                </c:ext>
              </c:extLst>
            </c:dLbl>
            <c:dLbl>
              <c:idx val="1"/>
              <c:layout>
                <c:manualLayout>
                  <c:x val="0.13235294117647059"/>
                  <c:y val="-3.831417624521142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AA-4476-A2AE-8A3A0019A583}"/>
                </c:ext>
              </c:extLst>
            </c:dLbl>
            <c:dLbl>
              <c:idx val="2"/>
              <c:layout>
                <c:manualLayout>
                  <c:x val="0.17647058823529413"/>
                  <c:y val="-7.662835249042145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3AA-4476-A2AE-8A3A0019A583}"/>
                </c:ext>
              </c:extLst>
            </c:dLbl>
            <c:dLbl>
              <c:idx val="3"/>
              <c:layout>
                <c:manualLayout>
                  <c:x val="-0.16176470588235295"/>
                  <c:y val="3.06513409961685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3AA-4476-A2AE-8A3A0019A583}"/>
                </c:ext>
              </c:extLst>
            </c:dLbl>
            <c:dLbl>
              <c:idx val="4"/>
              <c:layout>
                <c:manualLayout>
                  <c:x val="-0.14950980392156865"/>
                  <c:y val="-1.53256704980843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3AA-4476-A2AE-8A3A0019A583}"/>
                </c:ext>
              </c:extLst>
            </c:dLbl>
            <c:dLbl>
              <c:idx val="5"/>
              <c:layout>
                <c:manualLayout>
                  <c:x val="-0.12990196078431374"/>
                  <c:y val="-7.66283524904214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3AA-4476-A2AE-8A3A0019A5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 Dashboard_Data'!$R$3:$R$9</c:f>
              <c:strCache>
                <c:ptCount val="6"/>
                <c:pt idx="0">
                  <c:v>Advertising services:</c:v>
                </c:pt>
                <c:pt idx="1">
                  <c:v>AWS(Amazon Web Services):</c:v>
                </c:pt>
                <c:pt idx="2">
                  <c:v>Online stores:</c:v>
                </c:pt>
                <c:pt idx="3">
                  <c:v>Physical stores:</c:v>
                </c:pt>
                <c:pt idx="4">
                  <c:v>Subscription services:</c:v>
                </c:pt>
                <c:pt idx="5">
                  <c:v>Third-party seller services:</c:v>
                </c:pt>
              </c:strCache>
            </c:strRef>
          </c:cat>
          <c:val>
            <c:numRef>
              <c:f>'4) Dashboard_Data'!$S$3:$S$9</c:f>
              <c:numCache>
                <c:formatCode>0</c:formatCode>
                <c:ptCount val="6"/>
                <c:pt idx="0">
                  <c:v>68635</c:v>
                </c:pt>
                <c:pt idx="1">
                  <c:v>128725</c:v>
                </c:pt>
                <c:pt idx="2">
                  <c:v>269287</c:v>
                </c:pt>
                <c:pt idx="3">
                  <c:v>22561</c:v>
                </c:pt>
                <c:pt idx="4">
                  <c:v>49619</c:v>
                </c:pt>
                <c:pt idx="5">
                  <c:v>172162</c:v>
                </c:pt>
              </c:numCache>
            </c:numRef>
          </c:val>
          <c:extLst>
            <c:ext xmlns:c16="http://schemas.microsoft.com/office/drawing/2014/chart" uri="{C3380CC4-5D6E-409C-BE32-E72D297353CC}">
              <c16:uniqueId val="{0000000E-A3AA-4476-A2AE-8A3A0019A58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6D5F8"/>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financials.xlsx]4) Dashboard_Data!PivotTable5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Multi-Year Segment Revenue Trajectory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30128857061975"/>
          <c:y val="0.17171296296296296"/>
          <c:w val="0.72822714071526673"/>
          <c:h val="0.62992778981329167"/>
        </c:manualLayout>
      </c:layout>
      <c:barChart>
        <c:barDir val="col"/>
        <c:grouping val="clustered"/>
        <c:varyColors val="0"/>
        <c:ser>
          <c:idx val="0"/>
          <c:order val="0"/>
          <c:tx>
            <c:strRef>
              <c:f>'4) Dashboard_Data'!$S$14</c:f>
              <c:strCache>
                <c:ptCount val="1"/>
                <c:pt idx="0">
                  <c:v>FY2023</c:v>
                </c:pt>
              </c:strCache>
            </c:strRef>
          </c:tx>
          <c:spPr>
            <a:solidFill>
              <a:schemeClr val="accent1"/>
            </a:solidFill>
            <a:ln>
              <a:noFill/>
            </a:ln>
            <a:effectLst/>
          </c:spPr>
          <c:invertIfNegative val="0"/>
          <c:cat>
            <c:strRef>
              <c:f>'4) Dashboard_Data'!$R$15:$R$21</c:f>
              <c:strCache>
                <c:ptCount val="6"/>
                <c:pt idx="0">
                  <c:v>Advertising services:</c:v>
                </c:pt>
                <c:pt idx="1">
                  <c:v>AWS(Amazon Web Services):</c:v>
                </c:pt>
                <c:pt idx="2">
                  <c:v>Online stores:</c:v>
                </c:pt>
                <c:pt idx="3">
                  <c:v>Physical stores:</c:v>
                </c:pt>
                <c:pt idx="4">
                  <c:v>Subscription services:</c:v>
                </c:pt>
                <c:pt idx="5">
                  <c:v>Third-party seller services:</c:v>
                </c:pt>
              </c:strCache>
            </c:strRef>
          </c:cat>
          <c:val>
            <c:numRef>
              <c:f>'4) Dashboard_Data'!$S$15:$S$21</c:f>
              <c:numCache>
                <c:formatCode>0</c:formatCode>
                <c:ptCount val="6"/>
                <c:pt idx="0">
                  <c:v>46906</c:v>
                </c:pt>
                <c:pt idx="1">
                  <c:v>90757</c:v>
                </c:pt>
                <c:pt idx="2">
                  <c:v>231872</c:v>
                </c:pt>
                <c:pt idx="3">
                  <c:v>20030</c:v>
                </c:pt>
                <c:pt idx="4">
                  <c:v>40209</c:v>
                </c:pt>
                <c:pt idx="5">
                  <c:v>140053</c:v>
                </c:pt>
              </c:numCache>
            </c:numRef>
          </c:val>
          <c:extLst>
            <c:ext xmlns:c16="http://schemas.microsoft.com/office/drawing/2014/chart" uri="{C3380CC4-5D6E-409C-BE32-E72D297353CC}">
              <c16:uniqueId val="{00000000-6AA1-41B0-B4E8-FEBAD27516A1}"/>
            </c:ext>
          </c:extLst>
        </c:ser>
        <c:ser>
          <c:idx val="1"/>
          <c:order val="1"/>
          <c:tx>
            <c:strRef>
              <c:f>'4) Dashboard_Data'!$T$14</c:f>
              <c:strCache>
                <c:ptCount val="1"/>
                <c:pt idx="0">
                  <c:v>FY2024</c:v>
                </c:pt>
              </c:strCache>
            </c:strRef>
          </c:tx>
          <c:spPr>
            <a:solidFill>
              <a:schemeClr val="accent2"/>
            </a:solidFill>
            <a:ln>
              <a:noFill/>
            </a:ln>
            <a:effectLst/>
          </c:spPr>
          <c:invertIfNegative val="0"/>
          <c:cat>
            <c:strRef>
              <c:f>'4) Dashboard_Data'!$R$15:$R$21</c:f>
              <c:strCache>
                <c:ptCount val="6"/>
                <c:pt idx="0">
                  <c:v>Advertising services:</c:v>
                </c:pt>
                <c:pt idx="1">
                  <c:v>AWS(Amazon Web Services):</c:v>
                </c:pt>
                <c:pt idx="2">
                  <c:v>Online stores:</c:v>
                </c:pt>
                <c:pt idx="3">
                  <c:v>Physical stores:</c:v>
                </c:pt>
                <c:pt idx="4">
                  <c:v>Subscription services:</c:v>
                </c:pt>
                <c:pt idx="5">
                  <c:v>Third-party seller services:</c:v>
                </c:pt>
              </c:strCache>
            </c:strRef>
          </c:cat>
          <c:val>
            <c:numRef>
              <c:f>'4) Dashboard_Data'!$T$15:$T$21</c:f>
              <c:numCache>
                <c:formatCode>0</c:formatCode>
                <c:ptCount val="6"/>
                <c:pt idx="0">
                  <c:v>56214</c:v>
                </c:pt>
                <c:pt idx="1">
                  <c:v>107556</c:v>
                </c:pt>
                <c:pt idx="2">
                  <c:v>247029</c:v>
                </c:pt>
                <c:pt idx="3">
                  <c:v>21215</c:v>
                </c:pt>
                <c:pt idx="4">
                  <c:v>44374</c:v>
                </c:pt>
                <c:pt idx="5">
                  <c:v>156146</c:v>
                </c:pt>
              </c:numCache>
            </c:numRef>
          </c:val>
          <c:extLst>
            <c:ext xmlns:c16="http://schemas.microsoft.com/office/drawing/2014/chart" uri="{C3380CC4-5D6E-409C-BE32-E72D297353CC}">
              <c16:uniqueId val="{00000001-6AA1-41B0-B4E8-FEBAD27516A1}"/>
            </c:ext>
          </c:extLst>
        </c:ser>
        <c:ser>
          <c:idx val="2"/>
          <c:order val="2"/>
          <c:tx>
            <c:strRef>
              <c:f>'4) Dashboard_Data'!$U$14</c:f>
              <c:strCache>
                <c:ptCount val="1"/>
                <c:pt idx="0">
                  <c:v>FY2025</c:v>
                </c:pt>
              </c:strCache>
            </c:strRef>
          </c:tx>
          <c:spPr>
            <a:solidFill>
              <a:schemeClr val="accent3"/>
            </a:solidFill>
            <a:ln>
              <a:noFill/>
            </a:ln>
            <a:effectLst/>
          </c:spPr>
          <c:invertIfNegative val="0"/>
          <c:cat>
            <c:strRef>
              <c:f>'4) Dashboard_Data'!$R$15:$R$21</c:f>
              <c:strCache>
                <c:ptCount val="6"/>
                <c:pt idx="0">
                  <c:v>Advertising services:</c:v>
                </c:pt>
                <c:pt idx="1">
                  <c:v>AWS(Amazon Web Services):</c:v>
                </c:pt>
                <c:pt idx="2">
                  <c:v>Online stores:</c:v>
                </c:pt>
                <c:pt idx="3">
                  <c:v>Physical stores:</c:v>
                </c:pt>
                <c:pt idx="4">
                  <c:v>Subscription services:</c:v>
                </c:pt>
                <c:pt idx="5">
                  <c:v>Third-party seller services:</c:v>
                </c:pt>
              </c:strCache>
            </c:strRef>
          </c:cat>
          <c:val>
            <c:numRef>
              <c:f>'4) Dashboard_Data'!$U$15:$U$21</c:f>
              <c:numCache>
                <c:formatCode>0</c:formatCode>
                <c:ptCount val="6"/>
                <c:pt idx="0">
                  <c:v>68635</c:v>
                </c:pt>
                <c:pt idx="1">
                  <c:v>128725</c:v>
                </c:pt>
                <c:pt idx="2">
                  <c:v>269287</c:v>
                </c:pt>
                <c:pt idx="3">
                  <c:v>22561</c:v>
                </c:pt>
                <c:pt idx="4">
                  <c:v>49619</c:v>
                </c:pt>
                <c:pt idx="5">
                  <c:v>172162</c:v>
                </c:pt>
              </c:numCache>
            </c:numRef>
          </c:val>
          <c:extLst>
            <c:ext xmlns:c16="http://schemas.microsoft.com/office/drawing/2014/chart" uri="{C3380CC4-5D6E-409C-BE32-E72D297353CC}">
              <c16:uniqueId val="{00000002-6AA1-41B0-B4E8-FEBAD27516A1}"/>
            </c:ext>
          </c:extLst>
        </c:ser>
        <c:dLbls>
          <c:showLegendKey val="0"/>
          <c:showVal val="0"/>
          <c:showCatName val="0"/>
          <c:showSerName val="0"/>
          <c:showPercent val="0"/>
          <c:showBubbleSize val="0"/>
        </c:dLbls>
        <c:gapWidth val="219"/>
        <c:overlap val="-27"/>
        <c:axId val="163653600"/>
        <c:axId val="163655520"/>
      </c:barChart>
      <c:catAx>
        <c:axId val="16365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55520"/>
        <c:crosses val="autoZero"/>
        <c:auto val="1"/>
        <c:lblAlgn val="ctr"/>
        <c:lblOffset val="100"/>
        <c:noMultiLvlLbl val="0"/>
      </c:catAx>
      <c:valAx>
        <c:axId val="163655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5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6D5F8"/>
    </a:solidFill>
    <a:ln w="9525" cap="flat" cmpd="sng" algn="ctr">
      <a:solidFill>
        <a:schemeClr val="tx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financials.xlsx]4) Dashboard_Data!PivotTable6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Segment-wise YoY Growth Rate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 Dashboard_Data'!$S$25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Dashboard_Data'!$R$26:$R$32</c:f>
              <c:strCache>
                <c:ptCount val="6"/>
                <c:pt idx="0">
                  <c:v>Online stores:</c:v>
                </c:pt>
                <c:pt idx="1">
                  <c:v>Physical stores:</c:v>
                </c:pt>
                <c:pt idx="2">
                  <c:v>Third-party seller services:</c:v>
                </c:pt>
                <c:pt idx="3">
                  <c:v>Subscription services:</c:v>
                </c:pt>
                <c:pt idx="4">
                  <c:v>AWS(Amazon Web Services):</c:v>
                </c:pt>
                <c:pt idx="5">
                  <c:v>Advertising services:</c:v>
                </c:pt>
              </c:strCache>
            </c:strRef>
          </c:cat>
          <c:val>
            <c:numRef>
              <c:f>'4) Dashboard_Data'!$S$26:$S$32</c:f>
              <c:numCache>
                <c:formatCode>0.00%</c:formatCode>
                <c:ptCount val="6"/>
                <c:pt idx="0">
                  <c:v>9.0102781454808947E-2</c:v>
                </c:pt>
                <c:pt idx="1">
                  <c:v>6.3445675229790249E-2</c:v>
                </c:pt>
                <c:pt idx="2">
                  <c:v>0.10257067103864333</c:v>
                </c:pt>
                <c:pt idx="3">
                  <c:v>0.11819984675711002</c:v>
                </c:pt>
                <c:pt idx="4">
                  <c:v>0.19681840157685299</c:v>
                </c:pt>
                <c:pt idx="5">
                  <c:v>0.22095919166044045</c:v>
                </c:pt>
              </c:numCache>
            </c:numRef>
          </c:val>
          <c:extLst>
            <c:ext xmlns:c16="http://schemas.microsoft.com/office/drawing/2014/chart" uri="{C3380CC4-5D6E-409C-BE32-E72D297353CC}">
              <c16:uniqueId val="{00000000-A350-4413-807F-AC035655C02A}"/>
            </c:ext>
          </c:extLst>
        </c:ser>
        <c:dLbls>
          <c:showLegendKey val="0"/>
          <c:showVal val="0"/>
          <c:showCatName val="0"/>
          <c:showSerName val="0"/>
          <c:showPercent val="0"/>
          <c:showBubbleSize val="0"/>
        </c:dLbls>
        <c:gapWidth val="182"/>
        <c:axId val="260328448"/>
        <c:axId val="260330368"/>
      </c:barChart>
      <c:catAx>
        <c:axId val="26032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30368"/>
        <c:crosses val="autoZero"/>
        <c:auto val="1"/>
        <c:lblAlgn val="ctr"/>
        <c:lblOffset val="100"/>
        <c:noMultiLvlLbl val="0"/>
      </c:catAx>
      <c:valAx>
        <c:axId val="2603303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2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6D5F8"/>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'4) Dashboard_Data'!$B$30:$D$30</c:f>
              <c:strCache>
                <c:ptCount val="3"/>
                <c:pt idx="0">
                  <c:v>North America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'4) Dashboard_Data'!$E$29:$G$29</c:f>
              <c:numCache>
                <c:formatCode>0</c:formatCode>
                <c:ptCount val="3"/>
                <c:pt idx="0">
                  <c:v>2023</c:v>
                </c:pt>
                <c:pt idx="1">
                  <c:v>2024</c:v>
                </c:pt>
                <c:pt idx="2">
                  <c:v>2025</c:v>
                </c:pt>
              </c:numCache>
            </c:numRef>
          </c:cat>
          <c:val>
            <c:numRef>
              <c:f>'4) Dashboard_Data'!$E$30:$G$30</c:f>
              <c:numCache>
                <c:formatCode>0</c:formatCode>
                <c:ptCount val="3"/>
                <c:pt idx="0">
                  <c:v>352828</c:v>
                </c:pt>
                <c:pt idx="1">
                  <c:v>387497</c:v>
                </c:pt>
                <c:pt idx="2">
                  <c:v>426305</c:v>
                </c:pt>
              </c:numCache>
            </c:numRef>
          </c:val>
          <c:extLst>
            <c:ext xmlns:c16="http://schemas.microsoft.com/office/drawing/2014/chart" uri="{C3380CC4-5D6E-409C-BE32-E72D297353CC}">
              <c16:uniqueId val="{00000000-441E-41E1-A6A6-1608B44EB2D0}"/>
            </c:ext>
          </c:extLst>
        </c:ser>
        <c:ser>
          <c:idx val="1"/>
          <c:order val="1"/>
          <c:tx>
            <c:strRef>
              <c:f>'4) Dashboard_Data'!$B$31:$D$31</c:f>
              <c:strCache>
                <c:ptCount val="3"/>
                <c:pt idx="0">
                  <c:v>International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'4) Dashboard_Data'!$E$29:$G$29</c:f>
              <c:numCache>
                <c:formatCode>0</c:formatCode>
                <c:ptCount val="3"/>
                <c:pt idx="0">
                  <c:v>2023</c:v>
                </c:pt>
                <c:pt idx="1">
                  <c:v>2024</c:v>
                </c:pt>
                <c:pt idx="2">
                  <c:v>2025</c:v>
                </c:pt>
              </c:numCache>
            </c:numRef>
          </c:cat>
          <c:val>
            <c:numRef>
              <c:f>'4) Dashboard_Data'!$E$31:$G$31</c:f>
              <c:numCache>
                <c:formatCode>#,##0</c:formatCode>
                <c:ptCount val="3"/>
                <c:pt idx="0" formatCode="General">
                  <c:v>131200</c:v>
                </c:pt>
                <c:pt idx="1">
                  <c:v>142906</c:v>
                </c:pt>
                <c:pt idx="2" formatCode="General">
                  <c:v>161894</c:v>
                </c:pt>
              </c:numCache>
            </c:numRef>
          </c:val>
          <c:extLst>
            <c:ext xmlns:c16="http://schemas.microsoft.com/office/drawing/2014/chart" uri="{C3380CC4-5D6E-409C-BE32-E72D297353CC}">
              <c16:uniqueId val="{00000001-441E-41E1-A6A6-1608B44EB2D0}"/>
            </c:ext>
          </c:extLst>
        </c:ser>
        <c:ser>
          <c:idx val="2"/>
          <c:order val="2"/>
          <c:tx>
            <c:strRef>
              <c:f>'4) Dashboard_Data'!$B$32:$D$32</c:f>
              <c:strCache>
                <c:ptCount val="3"/>
                <c:pt idx="0">
                  <c:v>AWS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'4) Dashboard_Data'!$E$29:$G$29</c:f>
              <c:numCache>
                <c:formatCode>0</c:formatCode>
                <c:ptCount val="3"/>
                <c:pt idx="0">
                  <c:v>2023</c:v>
                </c:pt>
                <c:pt idx="1">
                  <c:v>2024</c:v>
                </c:pt>
                <c:pt idx="2">
                  <c:v>2025</c:v>
                </c:pt>
              </c:numCache>
            </c:numRef>
          </c:cat>
          <c:val>
            <c:numRef>
              <c:f>'4) Dashboard_Data'!$E$32:$G$32</c:f>
              <c:numCache>
                <c:formatCode>0</c:formatCode>
                <c:ptCount val="3"/>
                <c:pt idx="0">
                  <c:v>90757</c:v>
                </c:pt>
                <c:pt idx="1">
                  <c:v>107556</c:v>
                </c:pt>
                <c:pt idx="2">
                  <c:v>128725</c:v>
                </c:pt>
              </c:numCache>
            </c:numRef>
          </c:val>
          <c:extLst>
            <c:ext xmlns:c16="http://schemas.microsoft.com/office/drawing/2014/chart" uri="{C3380CC4-5D6E-409C-BE32-E72D297353CC}">
              <c16:uniqueId val="{00000002-441E-41E1-A6A6-1608B44EB2D0}"/>
            </c:ext>
          </c:extLst>
        </c:ser>
        <c:dLbls>
          <c:dLblPos val="outEnd"/>
          <c:showLegendKey val="0"/>
          <c:showVal val="1"/>
          <c:showCatName val="0"/>
          <c:showSerName val="0"/>
          <c:showPercent val="0"/>
          <c:showBubbleSize val="0"/>
        </c:dLbls>
        <c:gapWidth val="219"/>
        <c:axId val="373804112"/>
        <c:axId val="373796432"/>
      </c:barChart>
      <c:catAx>
        <c:axId val="37380411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96432"/>
        <c:crosses val="autoZero"/>
        <c:auto val="1"/>
        <c:lblAlgn val="ctr"/>
        <c:lblOffset val="100"/>
        <c:noMultiLvlLbl val="0"/>
      </c:catAx>
      <c:valAx>
        <c:axId val="373796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04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6D5F8"/>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5</xdr:col>
      <xdr:colOff>228600</xdr:colOff>
      <xdr:row>11</xdr:row>
      <xdr:rowOff>0</xdr:rowOff>
    </xdr:to>
    <xdr:sp macro="" textlink="">
      <xdr:nvSpPr>
        <xdr:cNvPr id="10" name="Rectangle: Rounded Corners 9">
          <a:extLst>
            <a:ext uri="{FF2B5EF4-FFF2-40B4-BE49-F238E27FC236}">
              <a16:creationId xmlns:a16="http://schemas.microsoft.com/office/drawing/2014/main" id="{D203E947-7F37-8B4B-CD94-08C7B550468A}"/>
            </a:ext>
          </a:extLst>
        </xdr:cNvPr>
        <xdr:cNvSpPr/>
      </xdr:nvSpPr>
      <xdr:spPr>
        <a:xfrm>
          <a:off x="1219200" y="552450"/>
          <a:ext cx="2057400" cy="1473200"/>
        </a:xfrm>
        <a:prstGeom prst="roundRect">
          <a:avLst>
            <a:gd name="adj" fmla="val 16667"/>
          </a:avLst>
        </a:prstGeom>
        <a:solidFill>
          <a:srgbClr val="56D5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44450</xdr:colOff>
      <xdr:row>3</xdr:row>
      <xdr:rowOff>177800</xdr:rowOff>
    </xdr:from>
    <xdr:to>
      <xdr:col>5</xdr:col>
      <xdr:colOff>273050</xdr:colOff>
      <xdr:row>6</xdr:row>
      <xdr:rowOff>177800</xdr:rowOff>
    </xdr:to>
    <xdr:sp macro="" textlink="">
      <xdr:nvSpPr>
        <xdr:cNvPr id="12" name="TextBox 11">
          <a:extLst>
            <a:ext uri="{FF2B5EF4-FFF2-40B4-BE49-F238E27FC236}">
              <a16:creationId xmlns:a16="http://schemas.microsoft.com/office/drawing/2014/main" id="{5446A47D-71C2-5C92-3F2B-F4F61BD258CE}"/>
            </a:ext>
          </a:extLst>
        </xdr:cNvPr>
        <xdr:cNvSpPr txBox="1"/>
      </xdr:nvSpPr>
      <xdr:spPr>
        <a:xfrm>
          <a:off x="1263650" y="730250"/>
          <a:ext cx="2057400" cy="552450"/>
        </a:xfrm>
        <a:prstGeom prst="rect">
          <a:avLst/>
        </a:prstGeom>
        <a:solidFill>
          <a:srgbClr val="56D5F8">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t>VALUATON HEADLINE</a:t>
          </a:r>
        </a:p>
      </xdr:txBody>
    </xdr:sp>
    <xdr:clientData/>
  </xdr:twoCellAnchor>
  <xdr:twoCellAnchor>
    <xdr:from>
      <xdr:col>2</xdr:col>
      <xdr:colOff>0</xdr:colOff>
      <xdr:row>5</xdr:row>
      <xdr:rowOff>12700</xdr:rowOff>
    </xdr:from>
    <xdr:to>
      <xdr:col>5</xdr:col>
      <xdr:colOff>228600</xdr:colOff>
      <xdr:row>10</xdr:row>
      <xdr:rowOff>12700</xdr:rowOff>
    </xdr:to>
    <xdr:sp macro="" textlink="">
      <xdr:nvSpPr>
        <xdr:cNvPr id="13" name="TextBox 12">
          <a:extLst>
            <a:ext uri="{FF2B5EF4-FFF2-40B4-BE49-F238E27FC236}">
              <a16:creationId xmlns:a16="http://schemas.microsoft.com/office/drawing/2014/main" id="{7FB1596F-7317-0076-3C58-9170EFF39D5F}"/>
            </a:ext>
          </a:extLst>
        </xdr:cNvPr>
        <xdr:cNvSpPr txBox="1"/>
      </xdr:nvSpPr>
      <xdr:spPr>
        <a:xfrm>
          <a:off x="1219200" y="933450"/>
          <a:ext cx="2057400" cy="920750"/>
        </a:xfrm>
        <a:prstGeom prst="rect">
          <a:avLst/>
        </a:prstGeom>
        <a:solidFill>
          <a:srgbClr val="56D5F8">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Implied DCF Target Price for 2028 </a:t>
          </a:r>
        </a:p>
        <a:p>
          <a:pPr algn="ctr"/>
          <a:r>
            <a:rPr lang="en-IN" sz="1100" baseline="0"/>
            <a:t>Vs</a:t>
          </a:r>
        </a:p>
        <a:p>
          <a:pPr algn="ctr"/>
          <a:r>
            <a:rPr lang="en-IN" sz="1100" baseline="0"/>
            <a:t>Current Market Price</a:t>
          </a:r>
        </a:p>
        <a:p>
          <a:pPr algn="ctr"/>
          <a:r>
            <a:rPr lang="en-IN" sz="1800" b="1"/>
            <a:t>$340</a:t>
          </a:r>
          <a:r>
            <a:rPr lang="en-IN" sz="1800" b="1" baseline="0"/>
            <a:t> </a:t>
          </a:r>
          <a:r>
            <a:rPr lang="en-IN" sz="1800" b="0" baseline="0"/>
            <a:t>Vs</a:t>
          </a:r>
          <a:r>
            <a:rPr lang="en-IN" sz="1800" b="1" baseline="0"/>
            <a:t> $ 263</a:t>
          </a:r>
          <a:endParaRPr lang="en-IN" sz="1800" b="1"/>
        </a:p>
      </xdr:txBody>
    </xdr:sp>
    <xdr:clientData/>
  </xdr:twoCellAnchor>
  <xdr:twoCellAnchor>
    <xdr:from>
      <xdr:col>5</xdr:col>
      <xdr:colOff>228600</xdr:colOff>
      <xdr:row>3</xdr:row>
      <xdr:rowOff>0</xdr:rowOff>
    </xdr:from>
    <xdr:to>
      <xdr:col>8</xdr:col>
      <xdr:colOff>457200</xdr:colOff>
      <xdr:row>11</xdr:row>
      <xdr:rowOff>0</xdr:rowOff>
    </xdr:to>
    <xdr:sp macro="" textlink="">
      <xdr:nvSpPr>
        <xdr:cNvPr id="15" name="Rectangle: Rounded Corners 14">
          <a:extLst>
            <a:ext uri="{FF2B5EF4-FFF2-40B4-BE49-F238E27FC236}">
              <a16:creationId xmlns:a16="http://schemas.microsoft.com/office/drawing/2014/main" id="{28A6A720-F370-4C0B-A60F-BC91208E56FF}"/>
            </a:ext>
          </a:extLst>
        </xdr:cNvPr>
        <xdr:cNvSpPr/>
      </xdr:nvSpPr>
      <xdr:spPr>
        <a:xfrm>
          <a:off x="3276600" y="552450"/>
          <a:ext cx="2057400" cy="1473200"/>
        </a:xfrm>
        <a:prstGeom prst="roundRect">
          <a:avLst>
            <a:gd name="adj" fmla="val 16667"/>
          </a:avLst>
        </a:prstGeom>
        <a:solidFill>
          <a:srgbClr val="56D5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228600</xdr:colOff>
      <xdr:row>4</xdr:row>
      <xdr:rowOff>57150</xdr:rowOff>
    </xdr:from>
    <xdr:to>
      <xdr:col>8</xdr:col>
      <xdr:colOff>457200</xdr:colOff>
      <xdr:row>6</xdr:row>
      <xdr:rowOff>57150</xdr:rowOff>
    </xdr:to>
    <xdr:sp macro="" textlink="">
      <xdr:nvSpPr>
        <xdr:cNvPr id="16" name="TextBox 15">
          <a:extLst>
            <a:ext uri="{FF2B5EF4-FFF2-40B4-BE49-F238E27FC236}">
              <a16:creationId xmlns:a16="http://schemas.microsoft.com/office/drawing/2014/main" id="{510C8AD9-AFB4-73F3-11F4-C4DFE04E7231}"/>
            </a:ext>
          </a:extLst>
        </xdr:cNvPr>
        <xdr:cNvSpPr txBox="1"/>
      </xdr:nvSpPr>
      <xdr:spPr>
        <a:xfrm>
          <a:off x="3276600" y="793750"/>
          <a:ext cx="2057400" cy="368300"/>
        </a:xfrm>
        <a:prstGeom prst="rect">
          <a:avLst/>
        </a:prstGeom>
        <a:solidFill>
          <a:srgbClr val="56D5F8">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t>VALUATION DRIVERS</a:t>
          </a:r>
        </a:p>
      </xdr:txBody>
    </xdr:sp>
    <xdr:clientData/>
  </xdr:twoCellAnchor>
  <xdr:twoCellAnchor>
    <xdr:from>
      <xdr:col>5</xdr:col>
      <xdr:colOff>228600</xdr:colOff>
      <xdr:row>6</xdr:row>
      <xdr:rowOff>57150</xdr:rowOff>
    </xdr:from>
    <xdr:to>
      <xdr:col>8</xdr:col>
      <xdr:colOff>457200</xdr:colOff>
      <xdr:row>10</xdr:row>
      <xdr:rowOff>57150</xdr:rowOff>
    </xdr:to>
    <xdr:sp macro="" textlink="">
      <xdr:nvSpPr>
        <xdr:cNvPr id="19" name="TextBox 18">
          <a:extLst>
            <a:ext uri="{FF2B5EF4-FFF2-40B4-BE49-F238E27FC236}">
              <a16:creationId xmlns:a16="http://schemas.microsoft.com/office/drawing/2014/main" id="{2880928F-9132-983E-4EFE-59669DAACE0F}"/>
            </a:ext>
          </a:extLst>
        </xdr:cNvPr>
        <xdr:cNvSpPr txBox="1"/>
      </xdr:nvSpPr>
      <xdr:spPr>
        <a:xfrm>
          <a:off x="3276600" y="1162050"/>
          <a:ext cx="2057400" cy="736600"/>
        </a:xfrm>
        <a:prstGeom prst="rect">
          <a:avLst/>
        </a:prstGeom>
        <a:solidFill>
          <a:srgbClr val="56D5F8">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WACC=</a:t>
          </a:r>
          <a:r>
            <a:rPr lang="en-IN" sz="1400" baseline="0"/>
            <a:t> </a:t>
          </a:r>
          <a:r>
            <a:rPr lang="en-IN" sz="1400" b="1" baseline="0"/>
            <a:t>9%</a:t>
          </a:r>
        </a:p>
        <a:p>
          <a:pPr algn="ctr"/>
          <a:r>
            <a:rPr lang="en-IN" sz="1400"/>
            <a:t>Terminal</a:t>
          </a:r>
          <a:r>
            <a:rPr lang="en-IN" sz="1400" baseline="0"/>
            <a:t> growth rate= </a:t>
          </a:r>
          <a:r>
            <a:rPr lang="en-IN" sz="1400" b="1" baseline="0"/>
            <a:t>3%</a:t>
          </a:r>
          <a:endParaRPr lang="en-IN" sz="1400" b="1"/>
        </a:p>
      </xdr:txBody>
    </xdr:sp>
    <xdr:clientData/>
  </xdr:twoCellAnchor>
  <xdr:twoCellAnchor>
    <xdr:from>
      <xdr:col>2</xdr:col>
      <xdr:colOff>31750</xdr:colOff>
      <xdr:row>11</xdr:row>
      <xdr:rowOff>31750</xdr:rowOff>
    </xdr:from>
    <xdr:to>
      <xdr:col>8</xdr:col>
      <xdr:colOff>457200</xdr:colOff>
      <xdr:row>28</xdr:row>
      <xdr:rowOff>0</xdr:rowOff>
    </xdr:to>
    <xdr:graphicFrame macro="">
      <xdr:nvGraphicFramePr>
        <xdr:cNvPr id="20" name="Chart 1">
          <a:extLst>
            <a:ext uri="{FF2B5EF4-FFF2-40B4-BE49-F238E27FC236}">
              <a16:creationId xmlns:a16="http://schemas.microsoft.com/office/drawing/2014/main" id="{7B1E603F-C153-50C2-77E6-2AF7FEE74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457200</xdr:colOff>
      <xdr:row>3</xdr:row>
      <xdr:rowOff>0</xdr:rowOff>
    </xdr:from>
    <xdr:to>
      <xdr:col>15</xdr:col>
      <xdr:colOff>311150</xdr:colOff>
      <xdr:row>16</xdr:row>
      <xdr:rowOff>0</xdr:rowOff>
    </xdr:to>
    <xdr:graphicFrame macro="">
      <xdr:nvGraphicFramePr>
        <xdr:cNvPr id="23" name="Chart 2">
          <a:extLst>
            <a:ext uri="{FF2B5EF4-FFF2-40B4-BE49-F238E27FC236}">
              <a16:creationId xmlns:a16="http://schemas.microsoft.com/office/drawing/2014/main" id="{0EDC0E6B-DCB6-F6C1-F9E6-44E640355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457200</xdr:colOff>
      <xdr:row>16</xdr:row>
      <xdr:rowOff>0</xdr:rowOff>
    </xdr:from>
    <xdr:to>
      <xdr:col>15</xdr:col>
      <xdr:colOff>311150</xdr:colOff>
      <xdr:row>28</xdr:row>
      <xdr:rowOff>0</xdr:rowOff>
    </xdr:to>
    <xdr:graphicFrame macro="">
      <xdr:nvGraphicFramePr>
        <xdr:cNvPr id="26" name="Chart 3">
          <a:extLst>
            <a:ext uri="{FF2B5EF4-FFF2-40B4-BE49-F238E27FC236}">
              <a16:creationId xmlns:a16="http://schemas.microsoft.com/office/drawing/2014/main" id="{790C06F7-FC44-60C7-DFE0-69F256D47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310797</xdr:colOff>
      <xdr:row>7</xdr:row>
      <xdr:rowOff>153986</xdr:rowOff>
    </xdr:from>
    <xdr:to>
      <xdr:col>13</xdr:col>
      <xdr:colOff>463197</xdr:colOff>
      <xdr:row>13</xdr:row>
      <xdr:rowOff>160337</xdr:rowOff>
    </xdr:to>
    <xdr:sp macro="" textlink="">
      <xdr:nvSpPr>
        <xdr:cNvPr id="2" name="Rectangle: Rounded Corners 1">
          <a:extLst>
            <a:ext uri="{FF2B5EF4-FFF2-40B4-BE49-F238E27FC236}">
              <a16:creationId xmlns:a16="http://schemas.microsoft.com/office/drawing/2014/main" id="{5E2EDBC6-DE50-C92D-0B4A-9CBFB569D38E}"/>
            </a:ext>
          </a:extLst>
        </xdr:cNvPr>
        <xdr:cNvSpPr/>
      </xdr:nvSpPr>
      <xdr:spPr>
        <a:xfrm>
          <a:off x="5780868" y="1423986"/>
          <a:ext cx="2583543" cy="1094922"/>
        </a:xfrm>
        <a:prstGeom prst="roundRect">
          <a:avLst/>
        </a:prstGeom>
        <a:solidFill>
          <a:srgbClr val="56D5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452664</xdr:colOff>
      <xdr:row>8</xdr:row>
      <xdr:rowOff>0</xdr:rowOff>
    </xdr:from>
    <xdr:to>
      <xdr:col>13</xdr:col>
      <xdr:colOff>281214</xdr:colOff>
      <xdr:row>9</xdr:row>
      <xdr:rowOff>79829</xdr:rowOff>
    </xdr:to>
    <xdr:sp macro="" textlink="">
      <xdr:nvSpPr>
        <xdr:cNvPr id="3" name="TextBox 2">
          <a:extLst>
            <a:ext uri="{FF2B5EF4-FFF2-40B4-BE49-F238E27FC236}">
              <a16:creationId xmlns:a16="http://schemas.microsoft.com/office/drawing/2014/main" id="{5DAC3193-A90E-7113-8A0D-1FD9515AF702}"/>
            </a:ext>
          </a:extLst>
        </xdr:cNvPr>
        <xdr:cNvSpPr txBox="1"/>
      </xdr:nvSpPr>
      <xdr:spPr>
        <a:xfrm>
          <a:off x="5922735" y="1451429"/>
          <a:ext cx="2259693" cy="261257"/>
        </a:xfrm>
        <a:prstGeom prst="rect">
          <a:avLst/>
        </a:prstGeom>
        <a:solidFill>
          <a:srgbClr val="56D5F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lumMod val="50000"/>
                </a:schemeClr>
              </a:solidFill>
            </a:rPr>
            <a:t>TOTAL REVENUE</a:t>
          </a:r>
          <a:r>
            <a:rPr lang="en-IN" sz="1200" b="1" baseline="0">
              <a:solidFill>
                <a:schemeClr val="bg1">
                  <a:lumMod val="50000"/>
                </a:schemeClr>
              </a:solidFill>
            </a:rPr>
            <a:t> FY2025 </a:t>
          </a:r>
        </a:p>
      </xdr:txBody>
    </xdr:sp>
    <xdr:clientData/>
  </xdr:twoCellAnchor>
  <xdr:twoCellAnchor>
    <xdr:from>
      <xdr:col>9</xdr:col>
      <xdr:colOff>492226</xdr:colOff>
      <xdr:row>9</xdr:row>
      <xdr:rowOff>52615</xdr:rowOff>
    </xdr:from>
    <xdr:to>
      <xdr:col>13</xdr:col>
      <xdr:colOff>320776</xdr:colOff>
      <xdr:row>11</xdr:row>
      <xdr:rowOff>94343</xdr:rowOff>
    </xdr:to>
    <xdr:sp macro="" textlink="">
      <xdr:nvSpPr>
        <xdr:cNvPr id="4" name="TextBox 3">
          <a:extLst>
            <a:ext uri="{FF2B5EF4-FFF2-40B4-BE49-F238E27FC236}">
              <a16:creationId xmlns:a16="http://schemas.microsoft.com/office/drawing/2014/main" id="{5BC1ABCF-55EE-6AFC-639D-47D0B2E49DF9}"/>
            </a:ext>
          </a:extLst>
        </xdr:cNvPr>
        <xdr:cNvSpPr txBox="1"/>
      </xdr:nvSpPr>
      <xdr:spPr>
        <a:xfrm>
          <a:off x="5962297" y="1685472"/>
          <a:ext cx="2259693" cy="404585"/>
        </a:xfrm>
        <a:prstGeom prst="rect">
          <a:avLst/>
        </a:prstGeom>
        <a:solidFill>
          <a:srgbClr val="56D5F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rgbClr val="002060"/>
              </a:solidFill>
            </a:rPr>
            <a:t>$</a:t>
          </a:r>
          <a:r>
            <a:rPr lang="en-US" sz="2400" baseline="0">
              <a:solidFill>
                <a:srgbClr val="002060"/>
              </a:solidFill>
            </a:rPr>
            <a:t>574,785 Million</a:t>
          </a:r>
          <a:endParaRPr lang="en-US" sz="2400">
            <a:solidFill>
              <a:srgbClr val="002060"/>
            </a:solidFill>
          </a:endParaRPr>
        </a:p>
      </xdr:txBody>
    </xdr:sp>
    <xdr:clientData/>
  </xdr:twoCellAnchor>
  <xdr:twoCellAnchor>
    <xdr:from>
      <xdr:col>9</xdr:col>
      <xdr:colOff>452664</xdr:colOff>
      <xdr:row>11</xdr:row>
      <xdr:rowOff>145142</xdr:rowOff>
    </xdr:from>
    <xdr:to>
      <xdr:col>13</xdr:col>
      <xdr:colOff>281214</xdr:colOff>
      <xdr:row>13</xdr:row>
      <xdr:rowOff>39914</xdr:rowOff>
    </xdr:to>
    <xdr:sp macro="" textlink="">
      <xdr:nvSpPr>
        <xdr:cNvPr id="5" name="TextBox 4">
          <a:extLst>
            <a:ext uri="{FF2B5EF4-FFF2-40B4-BE49-F238E27FC236}">
              <a16:creationId xmlns:a16="http://schemas.microsoft.com/office/drawing/2014/main" id="{5FFE3769-123C-8B5E-B6A6-16CAD05664DB}"/>
            </a:ext>
          </a:extLst>
        </xdr:cNvPr>
        <xdr:cNvSpPr txBox="1"/>
      </xdr:nvSpPr>
      <xdr:spPr>
        <a:xfrm>
          <a:off x="5922735" y="2140856"/>
          <a:ext cx="2259693" cy="257629"/>
        </a:xfrm>
        <a:prstGeom prst="rect">
          <a:avLst/>
        </a:prstGeom>
        <a:solidFill>
          <a:srgbClr val="56D5F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accent6"/>
              </a:solidFill>
            </a:rPr>
            <a:t>12.38% YoY</a:t>
          </a:r>
          <a:r>
            <a:rPr lang="en-IN" sz="1400" baseline="0">
              <a:solidFill>
                <a:schemeClr val="accent6"/>
              </a:solidFill>
            </a:rPr>
            <a:t> Growth</a:t>
          </a:r>
          <a:endParaRPr lang="en-IN" sz="1400">
            <a:solidFill>
              <a:schemeClr val="accent6"/>
            </a:solidFill>
          </a:endParaRPr>
        </a:p>
      </xdr:txBody>
    </xdr:sp>
    <xdr:clientData/>
  </xdr:twoCellAnchor>
  <xdr:twoCellAnchor>
    <xdr:from>
      <xdr:col>1</xdr:col>
      <xdr:colOff>18698</xdr:colOff>
      <xdr:row>7</xdr:row>
      <xdr:rowOff>153987</xdr:rowOff>
    </xdr:from>
    <xdr:to>
      <xdr:col>9</xdr:col>
      <xdr:colOff>310798</xdr:colOff>
      <xdr:row>26</xdr:row>
      <xdr:rowOff>0</xdr:rowOff>
    </xdr:to>
    <xdr:graphicFrame macro="">
      <xdr:nvGraphicFramePr>
        <xdr:cNvPr id="12" name="Chart 6">
          <a:extLst>
            <a:ext uri="{FF2B5EF4-FFF2-40B4-BE49-F238E27FC236}">
              <a16:creationId xmlns:a16="http://schemas.microsoft.com/office/drawing/2014/main" id="{7E432413-0FEE-499C-D69F-CF6DC7A6D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310797</xdr:colOff>
      <xdr:row>13</xdr:row>
      <xdr:rowOff>145082</xdr:rowOff>
    </xdr:from>
    <xdr:to>
      <xdr:col>13</xdr:col>
      <xdr:colOff>483464</xdr:colOff>
      <xdr:row>30</xdr:row>
      <xdr:rowOff>0</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4BFD5392-954C-A58F-779C-6D9D73D3AE5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835297" y="2483999"/>
              <a:ext cx="2628000" cy="2913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18698</xdr:colOff>
      <xdr:row>26</xdr:row>
      <xdr:rowOff>0</xdr:rowOff>
    </xdr:from>
    <xdr:to>
      <xdr:col>9</xdr:col>
      <xdr:colOff>310798</xdr:colOff>
      <xdr:row>44</xdr:row>
      <xdr:rowOff>137583</xdr:rowOff>
    </xdr:to>
    <xdr:graphicFrame macro="">
      <xdr:nvGraphicFramePr>
        <xdr:cNvPr id="14" name="Chart 9">
          <a:extLst>
            <a:ext uri="{FF2B5EF4-FFF2-40B4-BE49-F238E27FC236}">
              <a16:creationId xmlns:a16="http://schemas.microsoft.com/office/drawing/2014/main" id="{ACB944E3-3364-68E4-237B-D9186F577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463197</xdr:colOff>
      <xdr:row>7</xdr:row>
      <xdr:rowOff>153985</xdr:rowOff>
    </xdr:from>
    <xdr:to>
      <xdr:col>22</xdr:col>
      <xdr:colOff>144108</xdr:colOff>
      <xdr:row>29</xdr:row>
      <xdr:rowOff>93132</xdr:rowOff>
    </xdr:to>
    <xdr:graphicFrame macro="">
      <xdr:nvGraphicFramePr>
        <xdr:cNvPr id="15" name="Chart 10">
          <a:extLst>
            <a:ext uri="{FF2B5EF4-FFF2-40B4-BE49-F238E27FC236}">
              <a16:creationId xmlns:a16="http://schemas.microsoft.com/office/drawing/2014/main" id="{7C88596F-36F6-BF6F-F863-F7F9785C7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310797</xdr:colOff>
      <xdr:row>29</xdr:row>
      <xdr:rowOff>93133</xdr:rowOff>
    </xdr:from>
    <xdr:to>
      <xdr:col>22</xdr:col>
      <xdr:colOff>144108</xdr:colOff>
      <xdr:row>44</xdr:row>
      <xdr:rowOff>137583</xdr:rowOff>
    </xdr:to>
    <xdr:graphicFrame macro="">
      <xdr:nvGraphicFramePr>
        <xdr:cNvPr id="16" name="Chart 13">
          <a:extLst>
            <a:ext uri="{FF2B5EF4-FFF2-40B4-BE49-F238E27FC236}">
              <a16:creationId xmlns:a16="http://schemas.microsoft.com/office/drawing/2014/main" id="{9E85C6C0-3443-2EEA-D9C4-45ED7EEFB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Ambawata" refreshedDate="46316.790364120374" createdVersion="8" refreshedVersion="8" minRefreshableVersion="3" recordCount="7" xr:uid="{2E984D7F-142F-4497-911F-A6C3C434C9FB}">
  <cacheSource type="worksheet">
    <worksheetSource ref="B2:H9" sheet="4) Dashboard_Data"/>
  </cacheSource>
  <cacheFields count="7">
    <cacheField name="Segment" numFmtId="0">
      <sharedItems count="7">
        <s v="Online stores:"/>
        <s v="Physical stores:"/>
        <s v="Third-party seller services:"/>
        <s v="Advertising services:"/>
        <s v="Subscription services:"/>
        <s v="AWS(Amazon Web Services):"/>
        <s v="Other:"/>
      </sharedItems>
    </cacheField>
    <cacheField name="Field2" caption="Field2" numFmtId="0">
      <sharedItems containsNonDate="0" containsString="0" containsBlank="1"/>
    </cacheField>
    <cacheField name="Field3" caption="Field3" numFmtId="0">
      <sharedItems containsNonDate="0" containsString="0" containsBlank="1"/>
    </cacheField>
    <cacheField name="2023" numFmtId="1">
      <sharedItems containsSemiMixedTypes="0" containsString="0" containsNumber="1" containsInteger="1" minValue="4958" maxValue="231872"/>
    </cacheField>
    <cacheField name="2024" numFmtId="1">
      <sharedItems containsSemiMixedTypes="0" containsString="0" containsNumber="1" containsInteger="1" minValue="5425" maxValue="247029"/>
    </cacheField>
    <cacheField name="2025" numFmtId="1">
      <sharedItems containsSemiMixedTypes="0" containsString="0" containsNumber="1" containsInteger="1" minValue="5935" maxValue="269287"/>
    </cacheField>
    <cacheField name="YoY Growth" numFmtId="10">
      <sharedItems containsSemiMixedTypes="0" containsString="0" containsNumber="1" minValue="6.3445675229790249E-2" maxValue="0.22095919166044045"/>
    </cacheField>
  </cacheFields>
  <extLst>
    <ext xmlns:x14="http://schemas.microsoft.com/office/spreadsheetml/2009/9/main" uri="{725AE2AE-9491-48be-B2B4-4EB974FC3084}">
      <x14:pivotCacheDefinition pivotCacheId="17507262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Ambawata" refreshedDate="46316.870204050923" createdVersion="8" refreshedVersion="8" minRefreshableVersion="3" recordCount="1" xr:uid="{A7FA22BF-2A12-4FCC-BBE2-291193C793C8}">
  <cacheSource type="worksheet">
    <worksheetSource ref="B13:I14" sheet="4) Dashboard_Data"/>
  </cacheSource>
  <cacheFields count="8">
    <cacheField name="North America:" numFmtId="0">
      <sharedItems count="1">
        <s v="Revenue"/>
      </sharedItems>
    </cacheField>
    <cacheField name="Field2" caption="Field2" numFmtId="0">
      <sharedItems containsNonDate="0" containsString="0" containsBlank="1"/>
    </cacheField>
    <cacheField name="Field3" caption="Field3" numFmtId="0">
      <sharedItems containsNonDate="0" containsString="0" containsBlank="1"/>
    </cacheField>
    <cacheField name="2023" numFmtId="1">
      <sharedItems containsSemiMixedTypes="0" containsString="0" containsNumber="1" containsInteger="1" minValue="352828" maxValue="352828"/>
    </cacheField>
    <cacheField name="2024" numFmtId="1">
      <sharedItems containsSemiMixedTypes="0" containsString="0" containsNumber="1" containsInteger="1" minValue="387497" maxValue="387497"/>
    </cacheField>
    <cacheField name="2025" numFmtId="1">
      <sharedItems containsSemiMixedTypes="0" containsString="0" containsNumber="1" containsInteger="1" minValue="426305" maxValue="426305"/>
    </cacheField>
    <cacheField name="YoY Growth" numFmtId="10">
      <sharedItems containsSemiMixedTypes="0" containsString="0" containsNumber="1" minValue="0.10015045277769892" maxValue="0.10015045277769892" count="1">
        <n v="0.10015045277769892"/>
      </sharedItems>
    </cacheField>
    <cacheField name="% of Total Revenue" numFmtId="10">
      <sharedItems containsSemiMixedTypes="0" containsString="0" containsNumber="1" minValue="0.59463067214934917" maxValue="0.594630672149349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m/>
    <m/>
    <n v="231872"/>
    <n v="247029"/>
    <n v="269287"/>
    <n v="9.0102781454808947E-2"/>
  </r>
  <r>
    <x v="1"/>
    <m/>
    <m/>
    <n v="20030"/>
    <n v="21215"/>
    <n v="22561"/>
    <n v="6.3445675229790249E-2"/>
  </r>
  <r>
    <x v="2"/>
    <m/>
    <m/>
    <n v="140053"/>
    <n v="156146"/>
    <n v="172162"/>
    <n v="0.10257067103864333"/>
  </r>
  <r>
    <x v="3"/>
    <m/>
    <m/>
    <n v="46906"/>
    <n v="56214"/>
    <n v="68635"/>
    <n v="0.22095919166044045"/>
  </r>
  <r>
    <x v="4"/>
    <m/>
    <m/>
    <n v="40209"/>
    <n v="44374"/>
    <n v="49619"/>
    <n v="0.11819984675711002"/>
  </r>
  <r>
    <x v="5"/>
    <m/>
    <m/>
    <n v="90757"/>
    <n v="107556"/>
    <n v="128725"/>
    <n v="0.19681840157685299"/>
  </r>
  <r>
    <x v="6"/>
    <m/>
    <m/>
    <n v="4958"/>
    <n v="5425"/>
    <n v="5935"/>
    <n v="9.4009216589861749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m/>
    <m/>
    <n v="352828"/>
    <n v="387497"/>
    <n v="426305"/>
    <x v="0"/>
    <n v="0.594630672149349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50CB4D-6DEF-4643-AF9B-9776AE3364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2:S9" firstHeaderRow="1" firstDataRow="1" firstDataCol="1"/>
  <pivotFields count="7">
    <pivotField axis="axisRow" showAll="0">
      <items count="8">
        <item x="3"/>
        <item x="5"/>
        <item x="0"/>
        <item h="1" x="6"/>
        <item x="1"/>
        <item x="4"/>
        <item x="2"/>
        <item t="default"/>
      </items>
    </pivotField>
    <pivotField showAll="0"/>
    <pivotField showAll="0"/>
    <pivotField numFmtId="1" showAll="0"/>
    <pivotField numFmtId="1" showAll="0"/>
    <pivotField dataField="1" numFmtId="1" showAll="0"/>
    <pivotField numFmtId="10" showAll="0"/>
  </pivotFields>
  <rowFields count="1">
    <field x="0"/>
  </rowFields>
  <rowItems count="7">
    <i>
      <x/>
    </i>
    <i>
      <x v="1"/>
    </i>
    <i>
      <x v="2"/>
    </i>
    <i>
      <x v="4"/>
    </i>
    <i>
      <x v="5"/>
    </i>
    <i>
      <x v="6"/>
    </i>
    <i t="grand">
      <x/>
    </i>
  </rowItems>
  <colItems count="1">
    <i/>
  </colItems>
  <dataFields count="1">
    <dataField name="Sum of 2025" fld="5" baseField="0" baseItem="0" numFmtId="1"/>
  </dataFields>
  <chartFormats count="8">
    <chartFormat chart="1" format="9"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0" count="1" selected="0">
            <x v="0"/>
          </reference>
        </references>
      </pivotArea>
    </chartFormat>
    <chartFormat chart="1" format="11">
      <pivotArea type="data" outline="0" fieldPosition="0">
        <references count="2">
          <reference field="4294967294" count="1" selected="0">
            <x v="0"/>
          </reference>
          <reference field="0" count="1" selected="0">
            <x v="1"/>
          </reference>
        </references>
      </pivotArea>
    </chartFormat>
    <chartFormat chart="1" format="12">
      <pivotArea type="data" outline="0" fieldPosition="0">
        <references count="2">
          <reference field="4294967294" count="1" selected="0">
            <x v="0"/>
          </reference>
          <reference field="0" count="1" selected="0">
            <x v="2"/>
          </reference>
        </references>
      </pivotArea>
    </chartFormat>
    <chartFormat chart="1" format="13">
      <pivotArea type="data" outline="0" fieldPosition="0">
        <references count="2">
          <reference field="4294967294" count="1" selected="0">
            <x v="0"/>
          </reference>
          <reference field="0" count="1" selected="0">
            <x v="3"/>
          </reference>
        </references>
      </pivotArea>
    </chartFormat>
    <chartFormat chart="1" format="14">
      <pivotArea type="data" outline="0" fieldPosition="0">
        <references count="2">
          <reference field="4294967294" count="1" selected="0">
            <x v="0"/>
          </reference>
          <reference field="0" count="1" selected="0">
            <x v="4"/>
          </reference>
        </references>
      </pivotArea>
    </chartFormat>
    <chartFormat chart="1" format="15">
      <pivotArea type="data" outline="0" fieldPosition="0">
        <references count="2">
          <reference field="4294967294" count="1" selected="0">
            <x v="0"/>
          </reference>
          <reference field="0" count="1" selected="0">
            <x v="5"/>
          </reference>
        </references>
      </pivotArea>
    </chartFormat>
    <chartFormat chart="1" format="16">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A7BEDB-C8CE-4C55-A039-65FB22B4497D}" name="PivotTable8"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36:T40" firstHeaderRow="1" firstDataRow="2" firstDataCol="1"/>
  <pivotFields count="8">
    <pivotField axis="axisCol" showAll="0">
      <items count="2">
        <item x="0"/>
        <item t="default"/>
      </items>
    </pivotField>
    <pivotField showAll="0"/>
    <pivotField showAll="0"/>
    <pivotField dataField="1" numFmtId="1" showAll="0"/>
    <pivotField dataField="1" numFmtId="1" showAll="0"/>
    <pivotField dataField="1" numFmtId="1" showAll="0"/>
    <pivotField numFmtId="10" showAll="0"/>
    <pivotField numFmtId="10" showAll="0"/>
  </pivotFields>
  <rowFields count="1">
    <field x="-2"/>
  </rowFields>
  <rowItems count="3">
    <i>
      <x/>
    </i>
    <i i="1">
      <x v="1"/>
    </i>
    <i i="2">
      <x v="2"/>
    </i>
  </rowItems>
  <colFields count="1">
    <field x="0"/>
  </colFields>
  <colItems count="2">
    <i>
      <x/>
    </i>
    <i t="grand">
      <x/>
    </i>
  </colItems>
  <dataFields count="3">
    <dataField name="FY2023" fld="3" baseField="0" baseItem="0" numFmtId="1"/>
    <dataField name="FY2024" fld="4" baseField="0" baseItem="0" numFmtId="1"/>
    <dataField name="FY2025"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6B179E-D7A2-4ADE-BA49-68F893FF28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25:S32" firstHeaderRow="1" firstDataRow="1" firstDataCol="1"/>
  <pivotFields count="7">
    <pivotField axis="axisRow" showAll="0" nonAutoSortDefault="1">
      <items count="8">
        <item x="0"/>
        <item x="1"/>
        <item h="1" x="6"/>
        <item x="2"/>
        <item x="4"/>
        <item x="5"/>
        <item x="3"/>
        <item t="default"/>
      </items>
    </pivotField>
    <pivotField showAll="0"/>
    <pivotField showAll="0"/>
    <pivotField numFmtId="1" showAll="0"/>
    <pivotField numFmtId="1" showAll="0"/>
    <pivotField numFmtId="1" showAll="0"/>
    <pivotField dataField="1" numFmtId="10" showAll="0"/>
  </pivotFields>
  <rowFields count="1">
    <field x="0"/>
  </rowFields>
  <rowItems count="7">
    <i>
      <x/>
    </i>
    <i>
      <x v="1"/>
    </i>
    <i>
      <x v="3"/>
    </i>
    <i>
      <x v="4"/>
    </i>
    <i>
      <x v="5"/>
    </i>
    <i>
      <x v="6"/>
    </i>
    <i t="grand">
      <x/>
    </i>
  </rowItems>
  <colItems count="1">
    <i/>
  </colItems>
  <dataFields count="1">
    <dataField name="Sum of YoY Growth" fld="6" baseField="0" baseItem="0" numFmtId="1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170B65-51F2-47D9-8AF3-1C47B6FAC1BE}"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5">
  <location ref="R14:U21" firstHeaderRow="0" firstDataRow="1" firstDataCol="1"/>
  <pivotFields count="7">
    <pivotField axis="axisRow" showAll="0">
      <items count="8">
        <item x="3"/>
        <item x="5"/>
        <item x="0"/>
        <item h="1" x="6"/>
        <item x="1"/>
        <item x="4"/>
        <item x="2"/>
        <item t="default"/>
      </items>
    </pivotField>
    <pivotField showAll="0"/>
    <pivotField showAll="0"/>
    <pivotField dataField="1" numFmtId="1" showAll="0"/>
    <pivotField dataField="1" numFmtId="1" showAll="0"/>
    <pivotField dataField="1" numFmtId="1" showAll="0"/>
    <pivotField numFmtId="10" showAll="0"/>
  </pivotFields>
  <rowFields count="1">
    <field x="0"/>
  </rowFields>
  <rowItems count="7">
    <i>
      <x/>
    </i>
    <i>
      <x v="1"/>
    </i>
    <i>
      <x v="2"/>
    </i>
    <i>
      <x v="4"/>
    </i>
    <i>
      <x v="5"/>
    </i>
    <i>
      <x v="6"/>
    </i>
    <i t="grand">
      <x/>
    </i>
  </rowItems>
  <colFields count="1">
    <field x="-2"/>
  </colFields>
  <colItems count="3">
    <i>
      <x/>
    </i>
    <i i="1">
      <x v="1"/>
    </i>
    <i i="2">
      <x v="2"/>
    </i>
  </colItems>
  <dataFields count="3">
    <dataField name="FY2023" fld="3" baseField="0" baseItem="2" numFmtId="1"/>
    <dataField name="FY2024" fld="4" baseField="0" baseItem="2" numFmtId="1"/>
    <dataField name="FY2025" fld="5" baseField="0" baseItem="2" numFmtId="1"/>
  </dataFields>
  <chartFormats count="3">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B3CD7AC-5A28-4FB1-A412-AFF61F5F5B9E}" sourceName="Segment">
  <pivotTables>
    <pivotTable tabId="7" name="PivotTable4"/>
    <pivotTable tabId="7" name="PivotTable5"/>
    <pivotTable tabId="7" name="PivotTable6"/>
  </pivotTables>
  <data>
    <tabular pivotCacheId="1750726217">
      <items count="7">
        <i x="3" s="1"/>
        <i x="5" s="1"/>
        <i x="0" s="1"/>
        <i x="6"/>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D26EC00-0E6D-4A2B-9A65-9AE056D810CD}" cache="Slicer_Segment" caption="Segment"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D3B9-808A-4981-B0EC-DB84173B30C0}">
  <dimension ref="A2:D42"/>
  <sheetViews>
    <sheetView topLeftCell="A7" workbookViewId="0">
      <selection activeCell="C21" sqref="C21:D21"/>
    </sheetView>
  </sheetViews>
  <sheetFormatPr defaultRowHeight="14.5" x14ac:dyDescent="0.35"/>
  <cols>
    <col min="1" max="1" width="63.08984375" customWidth="1"/>
    <col min="2" max="3" width="9" bestFit="1" customWidth="1"/>
    <col min="4" max="4" width="10" bestFit="1" customWidth="1"/>
  </cols>
  <sheetData>
    <row r="2" spans="1:4" x14ac:dyDescent="0.35">
      <c r="A2" t="s">
        <v>144</v>
      </c>
      <c r="B2">
        <v>2023</v>
      </c>
      <c r="C2">
        <v>2024</v>
      </c>
      <c r="D2">
        <v>2025</v>
      </c>
    </row>
    <row r="3" spans="1:4" x14ac:dyDescent="0.35">
      <c r="A3" t="s">
        <v>0</v>
      </c>
      <c r="B3" s="6" t="s">
        <v>1</v>
      </c>
      <c r="C3" s="6" t="s">
        <v>2</v>
      </c>
      <c r="D3" s="6" t="s">
        <v>3</v>
      </c>
    </row>
    <row r="4" spans="1:4" x14ac:dyDescent="0.35">
      <c r="A4" t="s">
        <v>4</v>
      </c>
      <c r="B4" s="6"/>
      <c r="C4" s="6"/>
      <c r="D4" s="6"/>
    </row>
    <row r="5" spans="1:4" x14ac:dyDescent="0.35">
      <c r="A5" t="s">
        <v>5</v>
      </c>
      <c r="B5" s="6" t="s">
        <v>6</v>
      </c>
      <c r="C5" s="6" t="s">
        <v>7</v>
      </c>
      <c r="D5" s="6" t="s">
        <v>8</v>
      </c>
    </row>
    <row r="6" spans="1:4" x14ac:dyDescent="0.35">
      <c r="A6" t="s">
        <v>9</v>
      </c>
      <c r="B6" s="6"/>
      <c r="C6" s="6"/>
      <c r="D6" s="6"/>
    </row>
    <row r="7" spans="1:4" x14ac:dyDescent="0.35">
      <c r="A7" t="s">
        <v>10</v>
      </c>
      <c r="B7" s="6" t="s">
        <v>11</v>
      </c>
      <c r="C7" s="6" t="s">
        <v>12</v>
      </c>
      <c r="D7" s="6" t="s">
        <v>13</v>
      </c>
    </row>
    <row r="8" spans="1:4" x14ac:dyDescent="0.35">
      <c r="A8" t="s">
        <v>14</v>
      </c>
      <c r="B8" s="6" t="s">
        <v>15</v>
      </c>
      <c r="C8" s="6" t="s">
        <v>16</v>
      </c>
      <c r="D8" s="6" t="s">
        <v>17</v>
      </c>
    </row>
    <row r="9" spans="1:4" x14ac:dyDescent="0.35">
      <c r="B9" s="6"/>
      <c r="C9" s="6"/>
      <c r="D9" s="6"/>
    </row>
    <row r="10" spans="1:4" x14ac:dyDescent="0.35">
      <c r="A10" t="s">
        <v>18</v>
      </c>
      <c r="B10" s="6">
        <v>-748</v>
      </c>
      <c r="C10" s="6" t="s">
        <v>19</v>
      </c>
      <c r="D10" s="6">
        <v>-14880</v>
      </c>
    </row>
    <row r="11" spans="1:4" x14ac:dyDescent="0.35">
      <c r="A11" t="s">
        <v>20</v>
      </c>
      <c r="B11" s="6">
        <v>-5876</v>
      </c>
      <c r="C11" s="6">
        <v>-4648</v>
      </c>
      <c r="D11" s="6" t="s">
        <v>21</v>
      </c>
    </row>
    <row r="12" spans="1:4" x14ac:dyDescent="0.35">
      <c r="A12" t="s">
        <v>22</v>
      </c>
      <c r="B12" s="6"/>
      <c r="C12" s="6"/>
      <c r="D12" s="6"/>
    </row>
    <row r="13" spans="1:4" x14ac:dyDescent="0.35">
      <c r="A13" t="s">
        <v>23</v>
      </c>
      <c r="B13" s="6" t="s">
        <v>24</v>
      </c>
      <c r="C13" s="6">
        <v>-1884</v>
      </c>
      <c r="D13" s="6">
        <v>-3002</v>
      </c>
    </row>
    <row r="14" spans="1:4" x14ac:dyDescent="0.35">
      <c r="A14" t="s">
        <v>25</v>
      </c>
      <c r="B14" s="6">
        <v>-8348</v>
      </c>
      <c r="C14" s="6">
        <v>-3249</v>
      </c>
      <c r="D14" s="6">
        <v>-7333</v>
      </c>
    </row>
    <row r="15" spans="1:4" x14ac:dyDescent="0.35">
      <c r="A15" t="s">
        <v>26</v>
      </c>
      <c r="B15" s="6">
        <v>-12265</v>
      </c>
      <c r="C15" s="6">
        <v>-14483</v>
      </c>
      <c r="D15" s="6">
        <v>-15632</v>
      </c>
    </row>
    <row r="16" spans="1:4" x14ac:dyDescent="0.35">
      <c r="A16" t="s">
        <v>27</v>
      </c>
      <c r="B16" s="6" t="s">
        <v>28</v>
      </c>
      <c r="C16" s="6" t="s">
        <v>29</v>
      </c>
      <c r="D16" s="6" t="s">
        <v>30</v>
      </c>
    </row>
    <row r="17" spans="1:4" x14ac:dyDescent="0.35">
      <c r="A17" t="s">
        <v>31</v>
      </c>
      <c r="B17" s="6">
        <v>-2428</v>
      </c>
      <c r="C17" s="6">
        <v>-2904</v>
      </c>
      <c r="D17" s="6">
        <v>-5019</v>
      </c>
    </row>
    <row r="18" spans="1:4" x14ac:dyDescent="0.35">
      <c r="A18" t="s">
        <v>32</v>
      </c>
      <c r="B18" s="6" t="s">
        <v>33</v>
      </c>
      <c r="C18" s="6" t="s">
        <v>34</v>
      </c>
      <c r="D18" s="6">
        <v>-214</v>
      </c>
    </row>
    <row r="19" spans="1:4" x14ac:dyDescent="0.35">
      <c r="A19" s="3" t="s">
        <v>35</v>
      </c>
      <c r="B19" s="7">
        <v>84946</v>
      </c>
      <c r="C19" s="7">
        <v>115877</v>
      </c>
      <c r="D19" s="7">
        <v>139514</v>
      </c>
    </row>
    <row r="20" spans="1:4" x14ac:dyDescent="0.35">
      <c r="A20" t="s">
        <v>36</v>
      </c>
      <c r="B20" s="6"/>
      <c r="C20" s="6"/>
      <c r="D20" s="6"/>
    </row>
    <row r="21" spans="1:4" x14ac:dyDescent="0.35">
      <c r="A21" t="s">
        <v>37</v>
      </c>
      <c r="B21" s="6">
        <v>-52729</v>
      </c>
      <c r="C21" s="6">
        <v>-82999</v>
      </c>
      <c r="D21" s="6">
        <v>-131819</v>
      </c>
    </row>
    <row r="22" spans="1:4" x14ac:dyDescent="0.35">
      <c r="A22" t="s">
        <v>38</v>
      </c>
      <c r="B22" s="6" t="s">
        <v>39</v>
      </c>
      <c r="C22" s="6" t="s">
        <v>40</v>
      </c>
      <c r="D22" s="6" t="s">
        <v>41</v>
      </c>
    </row>
    <row r="23" spans="1:4" x14ac:dyDescent="0.35">
      <c r="A23" t="s">
        <v>42</v>
      </c>
      <c r="B23" s="6">
        <v>-5839</v>
      </c>
      <c r="C23" s="6">
        <v>-7082</v>
      </c>
      <c r="D23" s="6">
        <v>-3841</v>
      </c>
    </row>
    <row r="24" spans="1:4" x14ac:dyDescent="0.35">
      <c r="A24" t="s">
        <v>43</v>
      </c>
      <c r="B24" s="6" t="s">
        <v>44</v>
      </c>
      <c r="C24" s="6" t="s">
        <v>45</v>
      </c>
      <c r="D24" s="6" t="s">
        <v>46</v>
      </c>
    </row>
    <row r="25" spans="1:4" x14ac:dyDescent="0.35">
      <c r="A25" t="s">
        <v>47</v>
      </c>
      <c r="B25" s="6">
        <v>-1488</v>
      </c>
      <c r="C25" s="6">
        <v>-26005</v>
      </c>
      <c r="D25" s="6">
        <v>-54770</v>
      </c>
    </row>
    <row r="26" spans="1:4" x14ac:dyDescent="0.35">
      <c r="A26" s="3" t="s">
        <v>48</v>
      </c>
      <c r="B26" s="7">
        <v>-49833</v>
      </c>
      <c r="C26" s="7">
        <v>-94342</v>
      </c>
      <c r="D26" s="7">
        <v>-142545</v>
      </c>
    </row>
    <row r="27" spans="1:4" x14ac:dyDescent="0.35">
      <c r="A27" s="3" t="s">
        <v>147</v>
      </c>
      <c r="B27" s="15">
        <f>B19+B21</f>
        <v>32217</v>
      </c>
      <c r="C27" s="15">
        <f t="shared" ref="C27:D27" si="0">C19+C21</f>
        <v>32878</v>
      </c>
      <c r="D27" s="15">
        <f t="shared" si="0"/>
        <v>7695</v>
      </c>
    </row>
    <row r="29" spans="1:4" x14ac:dyDescent="0.35">
      <c r="A29" t="s">
        <v>49</v>
      </c>
      <c r="B29" s="6"/>
      <c r="C29" s="6"/>
      <c r="D29" s="6"/>
    </row>
    <row r="30" spans="1:4" x14ac:dyDescent="0.35">
      <c r="B30" s="6"/>
      <c r="C30" s="6"/>
      <c r="D30" s="6"/>
    </row>
    <row r="31" spans="1:4" x14ac:dyDescent="0.35">
      <c r="A31" t="s">
        <v>50</v>
      </c>
      <c r="B31" s="6" t="s">
        <v>51</v>
      </c>
      <c r="C31" s="6" t="s">
        <v>52</v>
      </c>
      <c r="D31" s="6" t="s">
        <v>53</v>
      </c>
    </row>
    <row r="32" spans="1:4" x14ac:dyDescent="0.35">
      <c r="A32" t="s">
        <v>54</v>
      </c>
      <c r="B32" s="6">
        <v>-25677</v>
      </c>
      <c r="C32" s="6">
        <v>-5060</v>
      </c>
      <c r="D32" s="6">
        <v>-8426</v>
      </c>
    </row>
    <row r="33" spans="1:4" x14ac:dyDescent="0.35">
      <c r="A33" t="s">
        <v>55</v>
      </c>
      <c r="B33" s="6"/>
      <c r="C33" s="6"/>
      <c r="D33" s="6" t="s">
        <v>57</v>
      </c>
    </row>
    <row r="34" spans="1:4" x14ac:dyDescent="0.35">
      <c r="A34" t="s">
        <v>58</v>
      </c>
      <c r="B34" s="6">
        <v>-3676</v>
      </c>
      <c r="C34" s="6">
        <v>-9182</v>
      </c>
      <c r="D34" s="6">
        <v>-5021</v>
      </c>
    </row>
    <row r="35" spans="1:4" x14ac:dyDescent="0.35">
      <c r="A35" t="s">
        <v>59</v>
      </c>
      <c r="B35" s="6">
        <v>-4384</v>
      </c>
      <c r="C35" s="6">
        <v>-2043</v>
      </c>
      <c r="D35" s="6">
        <v>-1557</v>
      </c>
    </row>
    <row r="36" spans="1:4" x14ac:dyDescent="0.35">
      <c r="A36" t="s">
        <v>60</v>
      </c>
      <c r="B36" s="6">
        <v>-271</v>
      </c>
      <c r="C36" s="6">
        <v>-669</v>
      </c>
      <c r="D36" s="6">
        <v>-328</v>
      </c>
    </row>
    <row r="37" spans="1:4" x14ac:dyDescent="0.35">
      <c r="A37" t="s">
        <v>61</v>
      </c>
      <c r="B37" s="10">
        <v>-15879</v>
      </c>
      <c r="C37" s="10">
        <v>-11812</v>
      </c>
      <c r="D37" s="10" t="s">
        <v>62</v>
      </c>
    </row>
    <row r="38" spans="1:4" x14ac:dyDescent="0.35">
      <c r="A38" t="s">
        <v>63</v>
      </c>
      <c r="B38" s="6" t="s">
        <v>64</v>
      </c>
      <c r="C38" s="6">
        <v>-1301</v>
      </c>
      <c r="D38" s="6" t="s">
        <v>65</v>
      </c>
    </row>
    <row r="39" spans="1:4" ht="15" thickBot="1" x14ac:dyDescent="0.4">
      <c r="A39" t="s">
        <v>66</v>
      </c>
      <c r="B39" s="6" t="s">
        <v>67</v>
      </c>
      <c r="C39" s="6" t="s">
        <v>68</v>
      </c>
      <c r="D39" s="6" t="s">
        <v>69</v>
      </c>
    </row>
    <row r="40" spans="1:4" ht="15" thickBot="1" x14ac:dyDescent="0.4">
      <c r="A40" t="s">
        <v>70</v>
      </c>
      <c r="B40" s="12" t="s">
        <v>2</v>
      </c>
      <c r="C40" s="13" t="s">
        <v>3</v>
      </c>
      <c r="D40" s="14" t="s">
        <v>71</v>
      </c>
    </row>
    <row r="42" spans="1:4" x14ac:dyDescent="0.35">
      <c r="B42" s="1"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B3781-5D2C-4038-828F-E52ED21613CF}">
  <dimension ref="A2:G29"/>
  <sheetViews>
    <sheetView workbookViewId="0">
      <selection activeCell="G10" sqref="G10"/>
    </sheetView>
  </sheetViews>
  <sheetFormatPr defaultRowHeight="14.5" x14ac:dyDescent="0.35"/>
  <cols>
    <col min="1" max="1" width="44.26953125" customWidth="1"/>
    <col min="2" max="4" width="12.54296875" bestFit="1" customWidth="1"/>
  </cols>
  <sheetData>
    <row r="2" spans="1:7" x14ac:dyDescent="0.35">
      <c r="B2">
        <v>2023</v>
      </c>
      <c r="C2">
        <v>2024</v>
      </c>
      <c r="D2">
        <v>2025</v>
      </c>
    </row>
    <row r="3" spans="1:7" x14ac:dyDescent="0.35">
      <c r="A3" t="s">
        <v>120</v>
      </c>
      <c r="B3" s="6">
        <v>255887</v>
      </c>
      <c r="C3" s="6">
        <v>272311</v>
      </c>
      <c r="D3" s="6">
        <v>296266</v>
      </c>
    </row>
    <row r="4" spans="1:7" x14ac:dyDescent="0.35">
      <c r="A4" t="s">
        <v>121</v>
      </c>
      <c r="B4" s="6">
        <v>318898</v>
      </c>
      <c r="C4" s="6">
        <v>365648</v>
      </c>
      <c r="D4" s="6">
        <v>420658</v>
      </c>
    </row>
    <row r="5" spans="1:7" x14ac:dyDescent="0.35">
      <c r="A5" s="3" t="s">
        <v>122</v>
      </c>
      <c r="B5" s="7">
        <v>574785</v>
      </c>
      <c r="C5" s="7">
        <v>637959</v>
      </c>
      <c r="D5" s="7">
        <v>716924</v>
      </c>
    </row>
    <row r="6" spans="1:7" x14ac:dyDescent="0.35">
      <c r="A6" t="s">
        <v>123</v>
      </c>
      <c r="B6" s="6" t="s">
        <v>146</v>
      </c>
      <c r="C6" s="6" t="s">
        <v>146</v>
      </c>
      <c r="D6" s="6" t="s">
        <v>146</v>
      </c>
    </row>
    <row r="7" spans="1:7" x14ac:dyDescent="0.35">
      <c r="A7" s="3" t="s">
        <v>124</v>
      </c>
      <c r="B7" s="8">
        <v>304739</v>
      </c>
      <c r="C7" s="8">
        <v>326288</v>
      </c>
      <c r="D7" s="8">
        <v>356414</v>
      </c>
    </row>
    <row r="8" spans="1:7" x14ac:dyDescent="0.35">
      <c r="A8" s="3" t="s">
        <v>145</v>
      </c>
      <c r="B8" s="15">
        <f>B5-B7</f>
        <v>270046</v>
      </c>
      <c r="C8" s="15">
        <f t="shared" ref="C8:D8" si="0">C5-C7</f>
        <v>311671</v>
      </c>
      <c r="D8" s="15">
        <f t="shared" si="0"/>
        <v>360510</v>
      </c>
    </row>
    <row r="9" spans="1:7" x14ac:dyDescent="0.35">
      <c r="B9" s="9" t="s">
        <v>146</v>
      </c>
      <c r="C9" s="9" t="s">
        <v>146</v>
      </c>
      <c r="D9" s="9" t="s">
        <v>146</v>
      </c>
      <c r="F9" s="9"/>
    </row>
    <row r="10" spans="1:7" x14ac:dyDescent="0.35">
      <c r="A10" t="s">
        <v>125</v>
      </c>
      <c r="B10" s="6">
        <v>90619</v>
      </c>
      <c r="C10" s="6">
        <v>98505</v>
      </c>
      <c r="D10" s="6">
        <v>109074</v>
      </c>
      <c r="G10" s="9">
        <f>B8-(B15-B7)</f>
        <v>36852</v>
      </c>
    </row>
    <row r="11" spans="1:7" x14ac:dyDescent="0.35">
      <c r="A11" t="s">
        <v>126</v>
      </c>
      <c r="B11" s="6">
        <v>85622</v>
      </c>
      <c r="C11" s="6">
        <v>88544</v>
      </c>
      <c r="D11" s="6">
        <v>108521</v>
      </c>
    </row>
    <row r="12" spans="1:7" x14ac:dyDescent="0.35">
      <c r="A12" t="s">
        <v>127</v>
      </c>
      <c r="B12" s="6">
        <v>44370</v>
      </c>
      <c r="C12" s="6">
        <v>43907</v>
      </c>
      <c r="D12" s="6">
        <v>47129</v>
      </c>
    </row>
    <row r="13" spans="1:7" x14ac:dyDescent="0.35">
      <c r="A13" t="s">
        <v>128</v>
      </c>
      <c r="B13" s="6">
        <v>11816</v>
      </c>
      <c r="C13" s="6">
        <v>11359</v>
      </c>
      <c r="D13" s="6">
        <v>11172</v>
      </c>
    </row>
    <row r="14" spans="1:7" x14ac:dyDescent="0.35">
      <c r="A14" t="s">
        <v>129</v>
      </c>
      <c r="B14" s="6">
        <v>767</v>
      </c>
      <c r="C14" s="6">
        <v>763</v>
      </c>
      <c r="D14" s="6">
        <v>4639</v>
      </c>
    </row>
    <row r="15" spans="1:7" x14ac:dyDescent="0.35">
      <c r="A15" s="3" t="s">
        <v>130</v>
      </c>
      <c r="B15" s="7">
        <v>537933</v>
      </c>
      <c r="C15" s="7">
        <v>569366</v>
      </c>
      <c r="D15" s="7">
        <v>636949</v>
      </c>
    </row>
    <row r="16" spans="1:7" x14ac:dyDescent="0.35">
      <c r="A16" s="3" t="s">
        <v>131</v>
      </c>
      <c r="B16" s="8">
        <v>36852</v>
      </c>
      <c r="C16" s="8">
        <v>68593</v>
      </c>
      <c r="D16" s="8">
        <v>79975</v>
      </c>
    </row>
    <row r="17" spans="1:4" x14ac:dyDescent="0.35">
      <c r="A17" t="s">
        <v>132</v>
      </c>
      <c r="B17" s="6">
        <v>2949</v>
      </c>
      <c r="C17" s="6">
        <v>4677</v>
      </c>
      <c r="D17" s="6">
        <v>4381</v>
      </c>
    </row>
    <row r="18" spans="1:4" x14ac:dyDescent="0.35">
      <c r="A18" t="s">
        <v>133</v>
      </c>
      <c r="B18" s="6">
        <v>-3182</v>
      </c>
      <c r="C18" s="6">
        <v>-2406</v>
      </c>
      <c r="D18" s="6">
        <v>-2274</v>
      </c>
    </row>
    <row r="19" spans="1:4" x14ac:dyDescent="0.35">
      <c r="A19" t="s">
        <v>134</v>
      </c>
      <c r="B19" s="6">
        <v>938</v>
      </c>
      <c r="C19" s="6">
        <v>-2250</v>
      </c>
      <c r="D19" s="6">
        <v>15229</v>
      </c>
    </row>
    <row r="20" spans="1:4" x14ac:dyDescent="0.35">
      <c r="A20" t="s">
        <v>135</v>
      </c>
      <c r="B20" s="10">
        <v>705</v>
      </c>
      <c r="C20" s="10">
        <v>21</v>
      </c>
      <c r="D20" s="10">
        <v>17336</v>
      </c>
    </row>
    <row r="21" spans="1:4" x14ac:dyDescent="0.35">
      <c r="A21" t="s">
        <v>136</v>
      </c>
      <c r="B21" s="6">
        <v>37557</v>
      </c>
      <c r="C21" s="6">
        <v>68614</v>
      </c>
      <c r="D21" s="6">
        <v>97311</v>
      </c>
    </row>
    <row r="22" spans="1:4" x14ac:dyDescent="0.35">
      <c r="A22" t="s">
        <v>137</v>
      </c>
      <c r="B22" s="6">
        <v>-7120</v>
      </c>
      <c r="C22" s="6">
        <v>-9265</v>
      </c>
      <c r="D22" s="6">
        <v>-19087</v>
      </c>
    </row>
    <row r="23" spans="1:4" x14ac:dyDescent="0.35">
      <c r="A23" t="s">
        <v>138</v>
      </c>
      <c r="B23" s="6">
        <v>-12</v>
      </c>
      <c r="C23" s="6">
        <v>-101</v>
      </c>
      <c r="D23" s="6">
        <v>-554</v>
      </c>
    </row>
    <row r="24" spans="1:4" x14ac:dyDescent="0.35">
      <c r="A24" s="3" t="s">
        <v>5</v>
      </c>
      <c r="B24" s="7">
        <v>30425</v>
      </c>
      <c r="C24" s="7">
        <v>59248</v>
      </c>
      <c r="D24" s="7">
        <v>77670</v>
      </c>
    </row>
    <row r="25" spans="1:4" x14ac:dyDescent="0.35">
      <c r="A25" t="s">
        <v>139</v>
      </c>
      <c r="B25" s="4">
        <v>2.95</v>
      </c>
      <c r="C25" s="4">
        <v>5.66</v>
      </c>
      <c r="D25" s="4">
        <v>7.29</v>
      </c>
    </row>
    <row r="26" spans="1:4" x14ac:dyDescent="0.35">
      <c r="A26" t="s">
        <v>140</v>
      </c>
      <c r="B26" s="4">
        <v>2.9</v>
      </c>
      <c r="C26" s="4">
        <v>5.53</v>
      </c>
      <c r="D26" s="4">
        <v>7.17</v>
      </c>
    </row>
    <row r="27" spans="1:4" x14ac:dyDescent="0.35">
      <c r="A27" t="s">
        <v>141</v>
      </c>
      <c r="B27" s="11" t="s">
        <v>146</v>
      </c>
      <c r="C27" s="11" t="s">
        <v>146</v>
      </c>
      <c r="D27" s="11" t="s">
        <v>146</v>
      </c>
    </row>
    <row r="28" spans="1:4" x14ac:dyDescent="0.35">
      <c r="A28" t="s">
        <v>142</v>
      </c>
      <c r="B28" s="6">
        <v>10304</v>
      </c>
      <c r="C28" s="6">
        <v>10473</v>
      </c>
      <c r="D28" s="6">
        <v>10656</v>
      </c>
    </row>
    <row r="29" spans="1:4" x14ac:dyDescent="0.35">
      <c r="A29" t="s">
        <v>143</v>
      </c>
      <c r="B29" s="6">
        <v>10492</v>
      </c>
      <c r="C29" s="6">
        <v>10721</v>
      </c>
      <c r="D29" s="6">
        <v>10827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36197-235B-4551-871E-616CDBBFB0E7}">
  <dimension ref="A2:C37"/>
  <sheetViews>
    <sheetView topLeftCell="A6" workbookViewId="0">
      <selection activeCell="C6" sqref="C6"/>
    </sheetView>
  </sheetViews>
  <sheetFormatPr defaultRowHeight="14.5" x14ac:dyDescent="0.35"/>
  <cols>
    <col min="1" max="1" width="92.1796875" customWidth="1"/>
  </cols>
  <sheetData>
    <row r="2" spans="1:3" x14ac:dyDescent="0.35">
      <c r="B2">
        <v>2024</v>
      </c>
      <c r="C2">
        <v>2025</v>
      </c>
    </row>
    <row r="3" spans="1:3" x14ac:dyDescent="0.35">
      <c r="A3" t="s">
        <v>118</v>
      </c>
    </row>
    <row r="4" spans="1:3" x14ac:dyDescent="0.35">
      <c r="A4" t="s">
        <v>72</v>
      </c>
    </row>
    <row r="5" spans="1:3" x14ac:dyDescent="0.35">
      <c r="A5" s="3" t="s">
        <v>73</v>
      </c>
      <c r="B5" s="16">
        <v>78779</v>
      </c>
      <c r="C5" s="16">
        <v>86810</v>
      </c>
    </row>
    <row r="6" spans="1:3" x14ac:dyDescent="0.35">
      <c r="A6" t="s">
        <v>74</v>
      </c>
      <c r="B6" s="1" t="s">
        <v>75</v>
      </c>
      <c r="C6" s="1" t="s">
        <v>76</v>
      </c>
    </row>
    <row r="7" spans="1:3" x14ac:dyDescent="0.35">
      <c r="A7" t="s">
        <v>23</v>
      </c>
      <c r="B7" s="2">
        <v>34214</v>
      </c>
      <c r="C7" s="2">
        <v>38325</v>
      </c>
    </row>
    <row r="8" spans="1:3" x14ac:dyDescent="0.35">
      <c r="A8" t="s">
        <v>25</v>
      </c>
      <c r="B8" s="1" t="s">
        <v>77</v>
      </c>
      <c r="C8" s="1" t="s">
        <v>78</v>
      </c>
    </row>
    <row r="9" spans="1:3" x14ac:dyDescent="0.35">
      <c r="A9" s="3" t="s">
        <v>79</v>
      </c>
      <c r="B9" s="16">
        <v>190867</v>
      </c>
      <c r="C9" s="16">
        <v>229083</v>
      </c>
    </row>
    <row r="10" spans="1:3" x14ac:dyDescent="0.35">
      <c r="A10" t="s">
        <v>80</v>
      </c>
      <c r="B10" s="1" t="s">
        <v>81</v>
      </c>
      <c r="C10" s="1" t="s">
        <v>82</v>
      </c>
    </row>
    <row r="11" spans="1:3" x14ac:dyDescent="0.35">
      <c r="A11" t="s">
        <v>83</v>
      </c>
      <c r="B11" s="1" t="s">
        <v>84</v>
      </c>
      <c r="C11" s="1" t="s">
        <v>85</v>
      </c>
    </row>
    <row r="12" spans="1:3" x14ac:dyDescent="0.35">
      <c r="A12" t="s">
        <v>86</v>
      </c>
      <c r="B12" s="1" t="s">
        <v>87</v>
      </c>
      <c r="C12" s="1" t="s">
        <v>88</v>
      </c>
    </row>
    <row r="13" spans="1:3" ht="15" thickBot="1" x14ac:dyDescent="0.4">
      <c r="A13" t="s">
        <v>26</v>
      </c>
      <c r="B13" s="1" t="s">
        <v>89</v>
      </c>
      <c r="C13" s="1" t="s">
        <v>90</v>
      </c>
    </row>
    <row r="14" spans="1:3" ht="15" thickBot="1" x14ac:dyDescent="0.4">
      <c r="A14" s="3" t="s">
        <v>91</v>
      </c>
      <c r="B14" s="17">
        <v>624894</v>
      </c>
      <c r="C14" s="18">
        <v>818042</v>
      </c>
    </row>
    <row r="15" spans="1:3" x14ac:dyDescent="0.35">
      <c r="B15" s="1"/>
      <c r="C15" s="1"/>
    </row>
    <row r="16" spans="1:3" x14ac:dyDescent="0.35">
      <c r="A16" t="s">
        <v>92</v>
      </c>
      <c r="B16" s="1"/>
      <c r="C16" s="1"/>
    </row>
    <row r="17" spans="1:3" x14ac:dyDescent="0.35">
      <c r="A17" t="s">
        <v>93</v>
      </c>
      <c r="B17" s="1"/>
      <c r="C17" s="1"/>
    </row>
    <row r="18" spans="1:3" x14ac:dyDescent="0.35">
      <c r="A18" s="3" t="s">
        <v>27</v>
      </c>
      <c r="B18" s="16">
        <v>94363</v>
      </c>
      <c r="C18" s="16">
        <v>121909</v>
      </c>
    </row>
    <row r="19" spans="1:3" x14ac:dyDescent="0.35">
      <c r="A19" t="s">
        <v>31</v>
      </c>
      <c r="B19" s="1" t="s">
        <v>94</v>
      </c>
      <c r="C19" s="1" t="s">
        <v>95</v>
      </c>
    </row>
    <row r="20" spans="1:3" x14ac:dyDescent="0.35">
      <c r="A20" t="s">
        <v>32</v>
      </c>
      <c r="B20" s="1" t="s">
        <v>96</v>
      </c>
      <c r="C20" s="1" t="s">
        <v>97</v>
      </c>
    </row>
    <row r="21" spans="1:3" x14ac:dyDescent="0.35">
      <c r="A21" s="3" t="s">
        <v>98</v>
      </c>
      <c r="B21" s="16">
        <v>179431</v>
      </c>
      <c r="C21" s="16">
        <v>218005</v>
      </c>
    </row>
    <row r="22" spans="1:3" x14ac:dyDescent="0.35">
      <c r="A22" t="s">
        <v>99</v>
      </c>
      <c r="B22" s="2">
        <v>78277</v>
      </c>
      <c r="C22" s="2">
        <v>87339</v>
      </c>
    </row>
    <row r="23" spans="1:3" x14ac:dyDescent="0.35">
      <c r="A23" s="3" t="s">
        <v>100</v>
      </c>
      <c r="B23" s="16">
        <v>52623</v>
      </c>
      <c r="C23" s="16">
        <v>65648</v>
      </c>
    </row>
    <row r="24" spans="1:3" x14ac:dyDescent="0.35">
      <c r="A24" t="s">
        <v>101</v>
      </c>
      <c r="B24" s="2">
        <v>28593</v>
      </c>
      <c r="C24" s="2">
        <v>35985</v>
      </c>
    </row>
    <row r="25" spans="1:3" x14ac:dyDescent="0.35">
      <c r="A25" s="3" t="s">
        <v>148</v>
      </c>
      <c r="B25" s="16">
        <f>SUM(B21:B24)</f>
        <v>338924</v>
      </c>
      <c r="C25" s="16">
        <f>SUM(C21:C24)</f>
        <v>406977</v>
      </c>
    </row>
    <row r="26" spans="1:3" x14ac:dyDescent="0.35">
      <c r="B26" s="1"/>
      <c r="C26" s="1"/>
    </row>
    <row r="27" spans="1:3" x14ac:dyDescent="0.35">
      <c r="A27" t="s">
        <v>102</v>
      </c>
      <c r="B27" s="1"/>
      <c r="C27" s="1"/>
    </row>
    <row r="28" spans="1:3" x14ac:dyDescent="0.35">
      <c r="A28" t="s">
        <v>103</v>
      </c>
      <c r="B28" s="1" t="s">
        <v>56</v>
      </c>
      <c r="C28" s="1" t="s">
        <v>56</v>
      </c>
    </row>
    <row r="29" spans="1:3" x14ac:dyDescent="0.35">
      <c r="A29" t="s">
        <v>104</v>
      </c>
      <c r="B29" s="1" t="s">
        <v>105</v>
      </c>
      <c r="C29" s="1" t="s">
        <v>106</v>
      </c>
    </row>
    <row r="30" spans="1:3" x14ac:dyDescent="0.35">
      <c r="A30" t="s">
        <v>107</v>
      </c>
      <c r="B30" s="2">
        <v>-7837</v>
      </c>
      <c r="C30" s="2">
        <v>-7837</v>
      </c>
    </row>
    <row r="31" spans="1:3" x14ac:dyDescent="0.35">
      <c r="A31" t="s">
        <v>108</v>
      </c>
      <c r="B31" s="1" t="s">
        <v>109</v>
      </c>
      <c r="C31" s="1" t="s">
        <v>110</v>
      </c>
    </row>
    <row r="32" spans="1:3" x14ac:dyDescent="0.35">
      <c r="A32" t="s">
        <v>111</v>
      </c>
      <c r="B32" s="1">
        <v>-34</v>
      </c>
      <c r="C32" s="1" t="s">
        <v>112</v>
      </c>
    </row>
    <row r="33" spans="1:3" x14ac:dyDescent="0.35">
      <c r="A33" t="s">
        <v>113</v>
      </c>
      <c r="B33" s="1" t="s">
        <v>114</v>
      </c>
      <c r="C33" s="1" t="s">
        <v>115</v>
      </c>
    </row>
    <row r="34" spans="1:3" ht="15" thickBot="1" x14ac:dyDescent="0.4">
      <c r="A34" s="3" t="s">
        <v>116</v>
      </c>
      <c r="B34" s="16">
        <v>285970</v>
      </c>
      <c r="C34" s="16">
        <v>411065</v>
      </c>
    </row>
    <row r="35" spans="1:3" ht="15" thickBot="1" x14ac:dyDescent="0.4">
      <c r="A35" t="s">
        <v>117</v>
      </c>
      <c r="B35" s="19">
        <f>B25+B34</f>
        <v>624894</v>
      </c>
      <c r="C35" s="20">
        <f>C25+C34</f>
        <v>818042</v>
      </c>
    </row>
    <row r="37" spans="1:3" x14ac:dyDescent="0.35">
      <c r="B37" s="1" t="s">
        <v>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AFEB-03FD-4B43-A6F1-D9D50BF6774C}">
  <dimension ref="A1:E24"/>
  <sheetViews>
    <sheetView workbookViewId="0">
      <selection activeCell="C10" sqref="C10"/>
    </sheetView>
  </sheetViews>
  <sheetFormatPr defaultRowHeight="14.5" x14ac:dyDescent="0.35"/>
  <cols>
    <col min="1" max="1" width="25.81640625" customWidth="1"/>
  </cols>
  <sheetData>
    <row r="1" spans="1:5" x14ac:dyDescent="0.35">
      <c r="A1" t="s">
        <v>149</v>
      </c>
    </row>
    <row r="2" spans="1:5" x14ac:dyDescent="0.35">
      <c r="D2">
        <v>2024</v>
      </c>
      <c r="E2">
        <v>2025</v>
      </c>
    </row>
    <row r="3" spans="1:5" x14ac:dyDescent="0.35">
      <c r="A3" t="s">
        <v>156</v>
      </c>
      <c r="D3" s="21">
        <f>('AMZN_Income Statement'!C5-'AMZN_Income Statement'!B5)/'AMZN_Income Statement'!B5</f>
        <v>0.10990892246666145</v>
      </c>
      <c r="E3" s="21">
        <f>('AMZN_Income Statement'!D5-'AMZN_Income Statement'!C5)/'AMZN_Income Statement'!C5</f>
        <v>0.12377754683294695</v>
      </c>
    </row>
    <row r="4" spans="1:5" x14ac:dyDescent="0.35">
      <c r="A4" t="s">
        <v>155</v>
      </c>
      <c r="E4" s="21">
        <f>('AMZN_Income Statement'!D5/'AMZN_Income Statement'!B5)^0.5-1</f>
        <v>0.11682170739003106</v>
      </c>
    </row>
    <row r="5" spans="1:5" x14ac:dyDescent="0.35">
      <c r="A5" t="s">
        <v>154</v>
      </c>
      <c r="D5" s="22">
        <f>('AMZN_Income Statement'!C24-'AMZN_Income Statement'!B24)/'AMZN_Income Statement'!B24</f>
        <v>0.9473459326211997</v>
      </c>
      <c r="E5" s="22">
        <f>('AMZN_Income Statement'!D24-'AMZN_Income Statement'!C24)/'AMZN_Income Statement'!C24</f>
        <v>0.31093032676208482</v>
      </c>
    </row>
    <row r="7" spans="1:5" x14ac:dyDescent="0.35">
      <c r="A7" t="s">
        <v>150</v>
      </c>
    </row>
    <row r="8" spans="1:5" x14ac:dyDescent="0.35">
      <c r="C8">
        <v>2023</v>
      </c>
      <c r="D8">
        <v>2024</v>
      </c>
      <c r="E8">
        <v>2025</v>
      </c>
    </row>
    <row r="9" spans="1:5" x14ac:dyDescent="0.35">
      <c r="A9" t="s">
        <v>153</v>
      </c>
      <c r="C9" s="22">
        <f>'AMZN_Income Statement'!B8/'AMZN_Income Statement'!B5</f>
        <v>0.46982088955000567</v>
      </c>
      <c r="D9" s="22">
        <f>'AMZN_Income Statement'!C8/'AMZN_Income Statement'!C5</f>
        <v>0.48854393464156787</v>
      </c>
      <c r="E9" s="22">
        <f>'AMZN_Income Statement'!D8/'AMZN_Income Statement'!D5</f>
        <v>0.50285664868242663</v>
      </c>
    </row>
    <row r="10" spans="1:5" x14ac:dyDescent="0.35">
      <c r="A10" t="s">
        <v>151</v>
      </c>
      <c r="C10" s="22">
        <f>'AMZN_Income Statement'!B16/'AMZN_Income Statement'!B5</f>
        <v>6.4114407996033296E-2</v>
      </c>
      <c r="D10" s="22">
        <f>'AMZN_Income Statement'!C16/'AMZN_Income Statement'!C5</f>
        <v>0.1075194487420038</v>
      </c>
      <c r="E10" s="22">
        <f>'AMZN_Income Statement'!D16/'AMZN_Income Statement'!D5</f>
        <v>0.11155296795755199</v>
      </c>
    </row>
    <row r="11" spans="1:5" x14ac:dyDescent="0.35">
      <c r="A11" t="s">
        <v>152</v>
      </c>
      <c r="C11" s="22">
        <f>'AMZN_Income Statement'!B24/'AMZN_Income Statement'!B5</f>
        <v>5.2932835755978319E-2</v>
      </c>
      <c r="D11" s="22">
        <f>'AMZN_Income Statement'!C24/'AMZN_Income Statement'!C5</f>
        <v>9.2871171971866534E-2</v>
      </c>
      <c r="E11" s="22">
        <f>'AMZN_Income Statement'!D24/'AMZN_Income Statement'!D5</f>
        <v>0.10833784334183261</v>
      </c>
    </row>
    <row r="13" spans="1:5" x14ac:dyDescent="0.35">
      <c r="A13" t="s">
        <v>157</v>
      </c>
    </row>
    <row r="14" spans="1:5" x14ac:dyDescent="0.35">
      <c r="C14">
        <v>2023</v>
      </c>
      <c r="D14">
        <v>2024</v>
      </c>
      <c r="E14">
        <v>2025</v>
      </c>
    </row>
    <row r="15" spans="1:5" x14ac:dyDescent="0.35">
      <c r="A15" t="s">
        <v>158</v>
      </c>
      <c r="D15" s="23">
        <f>'AMZN_Balance Sheet'!B9/'AMZN_Balance Sheet'!B21</f>
        <v>1.0637348061371781</v>
      </c>
      <c r="E15" s="23">
        <f>'AMZN_Balance Sheet'!C9/'AMZN_Balance Sheet'!C21</f>
        <v>1.0508153482718285</v>
      </c>
    </row>
    <row r="16" spans="1:5" x14ac:dyDescent="0.35">
      <c r="A16" t="s">
        <v>159</v>
      </c>
      <c r="D16" s="23">
        <f>('AMZN_Balance Sheet'!B9-'AMZN_Balance Sheet'!B7)/'AMZN_Balance Sheet'!B21</f>
        <v>0.87305426598525337</v>
      </c>
      <c r="E16" s="23">
        <f>('AMZN_Balance Sheet'!C9-'AMZN_Balance Sheet'!C7)/'AMZN_Balance Sheet'!C21</f>
        <v>0.8750166280589895</v>
      </c>
    </row>
    <row r="17" spans="1:5" x14ac:dyDescent="0.35">
      <c r="A17" t="s">
        <v>160</v>
      </c>
      <c r="D17" s="24">
        <f>'AMZN_Balance Sheet'!B18+'AMZN_Balance Sheet'!B23</f>
        <v>146986</v>
      </c>
      <c r="E17" s="24">
        <f>'AMZN_Balance Sheet'!C18+'AMZN_Balance Sheet'!C23</f>
        <v>187557</v>
      </c>
    </row>
    <row r="18" spans="1:5" x14ac:dyDescent="0.35">
      <c r="A18" t="s">
        <v>161</v>
      </c>
      <c r="D18" s="23">
        <f>'1) Financial_Analysis'!D17/'AMZN_Balance Sheet'!B34</f>
        <v>0.51399097807462324</v>
      </c>
      <c r="E18" s="23">
        <f>'1) Financial_Analysis'!E17/'AMZN_Balance Sheet'!C34</f>
        <v>0.45627090606108522</v>
      </c>
    </row>
    <row r="19" spans="1:5" x14ac:dyDescent="0.35">
      <c r="A19" t="s">
        <v>162</v>
      </c>
      <c r="C19" s="5">
        <f>'AMZN_Income Statement'!B16/-('AMZN_Income Statement'!B18)</f>
        <v>11.581395348837209</v>
      </c>
      <c r="D19" s="5">
        <f>'AMZN_Income Statement'!C16/-('AMZN_Income Statement'!C18)</f>
        <v>28.509143807148796</v>
      </c>
      <c r="E19" s="5">
        <f>'AMZN_Income Statement'!D16/-('AMZN_Income Statement'!D18)</f>
        <v>35.169305189094111</v>
      </c>
    </row>
    <row r="21" spans="1:5" x14ac:dyDescent="0.35">
      <c r="A21" t="s">
        <v>163</v>
      </c>
    </row>
    <row r="22" spans="1:5" x14ac:dyDescent="0.35">
      <c r="C22">
        <v>2023</v>
      </c>
      <c r="D22">
        <v>2024</v>
      </c>
      <c r="E22">
        <v>2025</v>
      </c>
    </row>
    <row r="23" spans="1:5" x14ac:dyDescent="0.35">
      <c r="A23" t="s">
        <v>164</v>
      </c>
      <c r="C23" s="22">
        <f>'AMZN_Cash flow'!B27/'AMZN_Income Statement'!B5</f>
        <v>5.6050523239124198E-2</v>
      </c>
      <c r="D23" s="22">
        <f>'AMZN_Cash flow'!C27/'AMZN_Income Statement'!C5</f>
        <v>5.1536227249713538E-2</v>
      </c>
      <c r="E23" s="22">
        <f>'AMZN_Cash flow'!D27/'AMZN_Income Statement'!D5</f>
        <v>1.0733355278941701E-2</v>
      </c>
    </row>
    <row r="24" spans="1:5" x14ac:dyDescent="0.35">
      <c r="A24" t="s">
        <v>165</v>
      </c>
      <c r="C24" s="22">
        <f>'AMZN_Cash flow'!B27/'AMZN_Income Statement'!B24</f>
        <v>1.058898931799507</v>
      </c>
      <c r="D24" s="22">
        <f>'AMZN_Cash flow'!C27/'AMZN_Income Statement'!C24</f>
        <v>0.55492168512017281</v>
      </c>
      <c r="E24" s="22">
        <f>'AMZN_Cash flow'!D27/'AMZN_Income Statement'!D24</f>
        <v>9.907300115874855E-2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2F073-40BF-48BB-80CA-EEA88CD7D40D}">
  <dimension ref="A2:S19"/>
  <sheetViews>
    <sheetView workbookViewId="0">
      <selection activeCell="F17" sqref="F17"/>
    </sheetView>
  </sheetViews>
  <sheetFormatPr defaultRowHeight="14.5" x14ac:dyDescent="0.35"/>
  <cols>
    <col min="2" max="2" width="25.08984375" customWidth="1"/>
    <col min="4" max="5" width="11.26953125" bestFit="1" customWidth="1"/>
    <col min="6" max="8" width="13.36328125" bestFit="1" customWidth="1"/>
    <col min="13" max="13" width="13.26953125" customWidth="1"/>
  </cols>
  <sheetData>
    <row r="2" spans="1:19" x14ac:dyDescent="0.35">
      <c r="D2" t="s">
        <v>166</v>
      </c>
      <c r="E2" t="s">
        <v>167</v>
      </c>
      <c r="F2" s="25" t="s">
        <v>168</v>
      </c>
      <c r="G2" s="25" t="s">
        <v>169</v>
      </c>
      <c r="H2" s="25" t="s">
        <v>170</v>
      </c>
      <c r="O2">
        <v>2024</v>
      </c>
      <c r="P2">
        <v>2025</v>
      </c>
      <c r="Q2">
        <v>2026</v>
      </c>
      <c r="R2">
        <v>2027</v>
      </c>
      <c r="S2">
        <v>2028</v>
      </c>
    </row>
    <row r="3" spans="1:19" x14ac:dyDescent="0.35">
      <c r="A3" t="s">
        <v>172</v>
      </c>
      <c r="M3" t="s">
        <v>227</v>
      </c>
      <c r="O3" s="9">
        <v>637959</v>
      </c>
      <c r="P3" s="9">
        <v>716924</v>
      </c>
      <c r="Q3" s="9">
        <v>802954.88000000012</v>
      </c>
      <c r="R3" s="9">
        <v>891279.91680000024</v>
      </c>
      <c r="S3" s="9">
        <v>980407.90848000033</v>
      </c>
    </row>
    <row r="4" spans="1:19" x14ac:dyDescent="0.35">
      <c r="B4" t="s">
        <v>171</v>
      </c>
      <c r="D4" s="22">
        <f>'1) Financial_Analysis'!D3</f>
        <v>0.10990892246666145</v>
      </c>
      <c r="E4" s="22">
        <f>'1) Financial_Analysis'!E3</f>
        <v>0.12377754683294695</v>
      </c>
      <c r="F4" s="22">
        <f>E4*(1+$J4)</f>
        <v>0.12463585898395016</v>
      </c>
      <c r="G4" s="22">
        <f t="shared" ref="G4:H4" si="0">F4*(1+$J4)</f>
        <v>0.12550012293935903</v>
      </c>
      <c r="H4" s="22">
        <f t="shared" si="0"/>
        <v>0.12637037997084333</v>
      </c>
      <c r="I4" s="21"/>
      <c r="J4" s="21">
        <f t="shared" ref="J4:J6" si="1">(E4-D4)/2</f>
        <v>6.934312183142749E-3</v>
      </c>
      <c r="M4" t="s">
        <v>228</v>
      </c>
      <c r="O4" s="22">
        <f>D14/D10</f>
        <v>0.1075194487420038</v>
      </c>
      <c r="P4" s="22">
        <f t="shared" ref="P4:S4" si="2">E14/E10</f>
        <v>0.11155296795755199</v>
      </c>
      <c r="Q4" s="22">
        <f t="shared" si="2"/>
        <v>0.11334475204542198</v>
      </c>
      <c r="R4" s="22">
        <f t="shared" si="2"/>
        <v>0.11513292253551757</v>
      </c>
      <c r="S4" s="22">
        <f t="shared" si="2"/>
        <v>0.11691748671559699</v>
      </c>
    </row>
    <row r="5" spans="1:19" x14ac:dyDescent="0.35">
      <c r="B5" t="s">
        <v>173</v>
      </c>
      <c r="D5" s="22">
        <f>'AMZN_Income Statement'!C7/'AMZN_Income Statement'!C5</f>
        <v>0.51145606535843213</v>
      </c>
      <c r="E5" s="22">
        <f>'AMZN_Income Statement'!D7/'AMZN_Income Statement'!D5</f>
        <v>0.49714335131757342</v>
      </c>
      <c r="F5" s="22">
        <f t="shared" ref="F5:H7" si="3">E5*(1+$J5)</f>
        <v>0.49358561600521211</v>
      </c>
      <c r="G5" s="22">
        <f t="shared" si="3"/>
        <v>0.49005334111693027</v>
      </c>
      <c r="H5" s="22">
        <f t="shared" si="3"/>
        <v>0.48654634444884326</v>
      </c>
      <c r="J5" s="21">
        <f t="shared" si="1"/>
        <v>-7.1563570204293547E-3</v>
      </c>
    </row>
    <row r="6" spans="1:19" x14ac:dyDescent="0.35">
      <c r="B6" t="s">
        <v>174</v>
      </c>
      <c r="D6" s="22">
        <f>'AMZN_Income Statement'!C15/'AMZN_Income Statement'!C5</f>
        <v>0.89248055125799619</v>
      </c>
      <c r="E6" s="22">
        <f>'AMZN_Income Statement'!D15/'AMZN_Income Statement'!D5</f>
        <v>0.88844703204244801</v>
      </c>
      <c r="F6" s="22">
        <f t="shared" si="3"/>
        <v>0.88665524795457806</v>
      </c>
      <c r="G6" s="22">
        <f t="shared" si="3"/>
        <v>0.88486707746448245</v>
      </c>
      <c r="H6" s="22">
        <f t="shared" si="3"/>
        <v>0.88308251328440301</v>
      </c>
      <c r="J6" s="21">
        <f t="shared" si="1"/>
        <v>-2.0167596077740879E-3</v>
      </c>
      <c r="P6">
        <v>2025</v>
      </c>
      <c r="Q6">
        <v>2026</v>
      </c>
      <c r="R6">
        <v>2027</v>
      </c>
      <c r="S6">
        <v>2028</v>
      </c>
    </row>
    <row r="7" spans="1:19" x14ac:dyDescent="0.35">
      <c r="B7" t="s">
        <v>175</v>
      </c>
      <c r="D7" s="22">
        <f>-('AMZN_Cash flow'!C21)/'AMZN_Income Statement'!C5</f>
        <v>0.13010083720113674</v>
      </c>
      <c r="E7" s="22">
        <f>-('AMZN_Cash flow'!D21)/'AMZN_Income Statement'!D5</f>
        <v>0.18386746712343288</v>
      </c>
      <c r="F7" s="22">
        <f t="shared" si="3"/>
        <v>0.18881043415322066</v>
      </c>
      <c r="G7" s="22">
        <f t="shared" si="3"/>
        <v>0.1938862845225128</v>
      </c>
      <c r="H7" s="22">
        <f t="shared" si="3"/>
        <v>0.19909859057597828</v>
      </c>
      <c r="J7" s="21">
        <f>(E7-D7)/2</f>
        <v>2.6883314961148069E-2</v>
      </c>
      <c r="M7" t="s">
        <v>229</v>
      </c>
      <c r="O7" s="22"/>
      <c r="P7" s="22">
        <f>(E14-D14)/D14</f>
        <v>0.16593529952035921</v>
      </c>
      <c r="Q7" s="22">
        <f t="shared" ref="Q7:S7" si="4">(F14-E14)/E14</f>
        <v>0.14269996497476728</v>
      </c>
      <c r="R7" s="22">
        <f t="shared" si="4"/>
        <v>0.14325644663428055</v>
      </c>
      <c r="S7" s="22">
        <f t="shared" si="4"/>
        <v>0.14382915882689382</v>
      </c>
    </row>
    <row r="8" spans="1:19" x14ac:dyDescent="0.35">
      <c r="M8" t="s">
        <v>230</v>
      </c>
      <c r="O8" s="22"/>
      <c r="P8" s="22">
        <f>(E12-D12)/D12</f>
        <v>0.15670049507333053</v>
      </c>
      <c r="Q8" s="22">
        <f t="shared" ref="Q8:S8" si="5">(F12-E12)/E12</f>
        <v>0.1325927125316535</v>
      </c>
      <c r="R8" s="22">
        <f t="shared" si="5"/>
        <v>0.13335056310588045</v>
      </c>
      <c r="S8" s="22">
        <f t="shared" si="5"/>
        <v>0.13411663558558076</v>
      </c>
    </row>
    <row r="9" spans="1:19" x14ac:dyDescent="0.35">
      <c r="A9" t="s">
        <v>176</v>
      </c>
      <c r="M9" t="s">
        <v>231</v>
      </c>
      <c r="P9" s="9"/>
      <c r="Q9" s="9"/>
      <c r="R9" s="9"/>
      <c r="S9" s="9"/>
    </row>
    <row r="10" spans="1:19" x14ac:dyDescent="0.35">
      <c r="B10" t="s">
        <v>177</v>
      </c>
      <c r="D10" s="9">
        <f>'AMZN_Income Statement'!C5</f>
        <v>637959</v>
      </c>
      <c r="E10" s="9">
        <f>'AMZN_Income Statement'!D5</f>
        <v>716924</v>
      </c>
      <c r="F10" s="9">
        <f>E10*(1+F4)</f>
        <v>806278.43856620952</v>
      </c>
      <c r="G10" s="9">
        <f t="shared" ref="G10:H10" si="6">F10*(1+G4)</f>
        <v>907466.48172962328</v>
      </c>
      <c r="H10" s="9">
        <f t="shared" si="6"/>
        <v>1022143.3658366001</v>
      </c>
    </row>
    <row r="11" spans="1:19" x14ac:dyDescent="0.35">
      <c r="B11" t="s">
        <v>178</v>
      </c>
      <c r="D11" s="9">
        <f>'AMZN_Income Statement'!C7</f>
        <v>326288</v>
      </c>
      <c r="E11" s="9">
        <f>'AMZN_Income Statement'!D7</f>
        <v>356414</v>
      </c>
      <c r="F11" s="9">
        <f>F10*F5</f>
        <v>397967.43977142312</v>
      </c>
      <c r="G11" s="9">
        <f t="shared" ref="G11:H11" si="7">G10*G5</f>
        <v>444706.98132322764</v>
      </c>
      <c r="H11" s="9">
        <f t="shared" si="7"/>
        <v>497320.11815043446</v>
      </c>
    </row>
    <row r="12" spans="1:19" x14ac:dyDescent="0.35">
      <c r="B12" s="29" t="s">
        <v>179</v>
      </c>
      <c r="C12" s="28"/>
      <c r="D12" s="26">
        <f>D10-D11</f>
        <v>311671</v>
      </c>
      <c r="E12" s="26">
        <f t="shared" ref="E12:H12" si="8">E10-E11</f>
        <v>360510</v>
      </c>
      <c r="F12" s="26">
        <f t="shared" si="8"/>
        <v>408310.9987947864</v>
      </c>
      <c r="G12" s="26">
        <f t="shared" si="8"/>
        <v>462759.50040639564</v>
      </c>
      <c r="H12" s="27">
        <f t="shared" si="8"/>
        <v>524823.24768616562</v>
      </c>
    </row>
    <row r="13" spans="1:19" ht="15" thickBot="1" x14ac:dyDescent="0.4">
      <c r="B13" t="s">
        <v>180</v>
      </c>
      <c r="D13" s="9">
        <f>(D10*D6)-D11</f>
        <v>243078</v>
      </c>
      <c r="E13" s="9">
        <f t="shared" ref="E13:H13" si="9">(E10*E6)-E11</f>
        <v>280535</v>
      </c>
      <c r="F13" s="9">
        <f t="shared" si="9"/>
        <v>316923.56909592939</v>
      </c>
      <c r="G13" s="9">
        <f t="shared" si="9"/>
        <v>358280.23226184025</v>
      </c>
      <c r="H13" s="9">
        <f t="shared" si="9"/>
        <v>405316.81428952934</v>
      </c>
    </row>
    <row r="14" spans="1:19" ht="15" thickBot="1" x14ac:dyDescent="0.4">
      <c r="B14" s="30" t="s">
        <v>181</v>
      </c>
      <c r="C14" s="31"/>
      <c r="D14" s="32">
        <f>D12-D13</f>
        <v>68593</v>
      </c>
      <c r="E14" s="32">
        <f t="shared" ref="E14:H14" si="10">E12-E13</f>
        <v>79975</v>
      </c>
      <c r="F14" s="32">
        <f t="shared" si="10"/>
        <v>91387.429698857013</v>
      </c>
      <c r="G14" s="32">
        <f t="shared" si="10"/>
        <v>104479.26814455539</v>
      </c>
      <c r="H14" s="33">
        <f t="shared" si="10"/>
        <v>119506.43339663628</v>
      </c>
    </row>
    <row r="16" spans="1:19" x14ac:dyDescent="0.35">
      <c r="A16" t="s">
        <v>182</v>
      </c>
      <c r="D16">
        <v>2024</v>
      </c>
      <c r="E16">
        <v>2025</v>
      </c>
      <c r="F16">
        <v>2026</v>
      </c>
      <c r="G16">
        <v>2027</v>
      </c>
      <c r="H16">
        <v>2028</v>
      </c>
    </row>
    <row r="17" spans="2:8" x14ac:dyDescent="0.35">
      <c r="B17" t="s">
        <v>183</v>
      </c>
      <c r="D17" s="9">
        <f>'AMZN_Cash flow'!C19</f>
        <v>115877</v>
      </c>
      <c r="E17" s="9">
        <f>'AMZN_Cash flow'!D19</f>
        <v>139514</v>
      </c>
      <c r="F17" s="9">
        <f>F14*(E17/E14)</f>
        <v>159422.64291348969</v>
      </c>
      <c r="G17" s="9">
        <f>G14*(F17/F14)</f>
        <v>182260.96425032199</v>
      </c>
      <c r="H17" s="9">
        <f>H14*(G17/G14)</f>
        <v>208475.4054254244</v>
      </c>
    </row>
    <row r="18" spans="2:8" x14ac:dyDescent="0.35">
      <c r="B18" t="s">
        <v>184</v>
      </c>
      <c r="D18" s="9">
        <v>82999</v>
      </c>
      <c r="E18" s="9">
        <v>131819</v>
      </c>
      <c r="F18" s="9">
        <f>F10*F7</f>
        <v>152233.78203406685</v>
      </c>
      <c r="G18" s="9">
        <f t="shared" ref="E18:H18" si="11">G10*G7</f>
        <v>175945.30447127341</v>
      </c>
      <c r="H18" s="9">
        <f t="shared" si="11"/>
        <v>203507.30350465362</v>
      </c>
    </row>
    <row r="19" spans="2:8" x14ac:dyDescent="0.35">
      <c r="B19" s="29" t="s">
        <v>185</v>
      </c>
      <c r="C19" s="28"/>
      <c r="D19" s="26">
        <f>D17-D18</f>
        <v>32878</v>
      </c>
      <c r="E19" s="26">
        <f t="shared" ref="E19:H19" si="12">E17-E18</f>
        <v>7695</v>
      </c>
      <c r="F19" s="26">
        <f t="shared" si="12"/>
        <v>7188.8608794228348</v>
      </c>
      <c r="G19" s="26">
        <f t="shared" si="12"/>
        <v>6315.659779048583</v>
      </c>
      <c r="H19" s="26">
        <f t="shared" si="12"/>
        <v>4968.1019207707723</v>
      </c>
    </row>
  </sheetData>
  <pageMargins left="0.7" right="0.7" top="0.75" bottom="0.75" header="0.3" footer="0.3"/>
  <ignoredErrors>
    <ignoredError sqref="D13:H1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EC17-74FB-412E-AE64-13FA554E52D8}">
  <dimension ref="B2:G12"/>
  <sheetViews>
    <sheetView workbookViewId="0">
      <selection activeCell="F9" sqref="F9"/>
    </sheetView>
  </sheetViews>
  <sheetFormatPr defaultRowHeight="14.5" x14ac:dyDescent="0.35"/>
  <cols>
    <col min="2" max="2" width="16.7265625" customWidth="1"/>
    <col min="9" max="9" width="11.81640625" bestFit="1" customWidth="1"/>
  </cols>
  <sheetData>
    <row r="2" spans="2:7" x14ac:dyDescent="0.35">
      <c r="D2">
        <v>2026</v>
      </c>
      <c r="E2">
        <v>2027</v>
      </c>
      <c r="F2">
        <v>2028</v>
      </c>
    </row>
    <row r="3" spans="2:7" x14ac:dyDescent="0.35">
      <c r="B3" t="s">
        <v>186</v>
      </c>
      <c r="D3" s="9">
        <f>'2) Financial_Models'!F19</f>
        <v>7188.8608794228348</v>
      </c>
      <c r="E3" s="9">
        <f>'2) Financial_Models'!G19</f>
        <v>6315.659779048583</v>
      </c>
      <c r="F3" s="9">
        <f>'2) Financial_Models'!H19</f>
        <v>4968.1019207707723</v>
      </c>
    </row>
    <row r="4" spans="2:7" x14ac:dyDescent="0.35">
      <c r="B4" t="s">
        <v>187</v>
      </c>
      <c r="D4">
        <v>1</v>
      </c>
      <c r="E4">
        <v>2</v>
      </c>
      <c r="F4">
        <v>3</v>
      </c>
    </row>
    <row r="5" spans="2:7" x14ac:dyDescent="0.35">
      <c r="B5" t="s">
        <v>188</v>
      </c>
      <c r="D5" s="5">
        <f>(1/(1+9%)^1)</f>
        <v>0.9174311926605504</v>
      </c>
      <c r="E5" s="5">
        <f>(1/(1+9%)^2)</f>
        <v>0.84167999326655996</v>
      </c>
      <c r="F5" s="5">
        <f>(1/(1+9%)^3)</f>
        <v>0.77218348006106419</v>
      </c>
    </row>
    <row r="6" spans="2:7" x14ac:dyDescent="0.35">
      <c r="B6" t="s">
        <v>189</v>
      </c>
      <c r="D6" s="9">
        <f>D3*D5</f>
        <v>6595.2852104796648</v>
      </c>
      <c r="E6" s="9">
        <f t="shared" ref="E6:F6" si="0">E3*E5</f>
        <v>5315.7644803034946</v>
      </c>
      <c r="F6" s="9">
        <f t="shared" si="0"/>
        <v>3836.2862304788323</v>
      </c>
      <c r="G6" s="9">
        <f>SUM(D6:F6)</f>
        <v>15747.335921261991</v>
      </c>
    </row>
    <row r="8" spans="2:7" x14ac:dyDescent="0.35">
      <c r="B8" t="s">
        <v>190</v>
      </c>
      <c r="F8">
        <f>(G6*(1+3%))/(9%-3%)</f>
        <v>270329.26664833084</v>
      </c>
    </row>
    <row r="9" spans="2:7" x14ac:dyDescent="0.35">
      <c r="B9" t="s">
        <v>191</v>
      </c>
      <c r="F9">
        <f>F8/(1+9%)^3</f>
        <v>208743.79388286348</v>
      </c>
    </row>
    <row r="10" spans="2:7" x14ac:dyDescent="0.35">
      <c r="B10" t="s">
        <v>192</v>
      </c>
      <c r="F10" s="9">
        <f>G6+F9</f>
        <v>224491.12980412546</v>
      </c>
    </row>
    <row r="11" spans="2:7" x14ac:dyDescent="0.35">
      <c r="B11" t="s">
        <v>193</v>
      </c>
      <c r="F11" s="9">
        <f>F10+'AMZN_Balance Sheet'!C5+'AMZN_Balance Sheet'!C18-'AMZN_Balance Sheet'!C23</f>
        <v>367562.12980412546</v>
      </c>
    </row>
    <row r="12" spans="2:7" x14ac:dyDescent="0.35">
      <c r="B12" t="s">
        <v>194</v>
      </c>
      <c r="F12" s="34">
        <f>F11/1080</f>
        <v>340.33530537419023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EC115-9ADA-40D2-BEA4-EFA62E1E3521}">
  <dimension ref="A1"/>
  <sheetViews>
    <sheetView showGridLines="0" topLeftCell="A4" zoomScale="90" zoomScaleNormal="90" workbookViewId="0">
      <selection activeCell="P17" sqref="P17"/>
    </sheetView>
  </sheetViews>
  <sheetFormatPr defaultRowHeight="14.5" x14ac:dyDescent="0.35"/>
  <cols>
    <col min="1" max="16384" width="8.7265625" style="35"/>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5997-58B5-43CC-BF35-BE076FEFED06}">
  <dimension ref="B2:U42"/>
  <sheetViews>
    <sheetView workbookViewId="0">
      <selection activeCell="B29" sqref="B29:G32"/>
    </sheetView>
  </sheetViews>
  <sheetFormatPr defaultRowHeight="14.5" x14ac:dyDescent="0.35"/>
  <cols>
    <col min="5" max="7" width="10.36328125" bestFit="1" customWidth="1"/>
    <col min="8" max="8" width="10" bestFit="1" customWidth="1"/>
    <col min="9" max="9" width="16" bestFit="1" customWidth="1"/>
    <col min="18" max="18" width="24.26953125" bestFit="1" customWidth="1"/>
    <col min="19" max="19" width="16.6328125" bestFit="1" customWidth="1"/>
    <col min="20" max="21" width="6.90625" bestFit="1" customWidth="1"/>
    <col min="22" max="23" width="15.54296875" bestFit="1" customWidth="1"/>
  </cols>
  <sheetData>
    <row r="2" spans="2:21" x14ac:dyDescent="0.35">
      <c r="B2" t="s">
        <v>206</v>
      </c>
      <c r="E2">
        <v>2023</v>
      </c>
      <c r="F2">
        <v>2024</v>
      </c>
      <c r="G2">
        <v>2025</v>
      </c>
      <c r="H2" t="s">
        <v>204</v>
      </c>
      <c r="I2" t="s">
        <v>205</v>
      </c>
      <c r="R2" s="36" t="s">
        <v>207</v>
      </c>
      <c r="S2" t="s">
        <v>210</v>
      </c>
    </row>
    <row r="3" spans="2:21" x14ac:dyDescent="0.35">
      <c r="B3" t="s">
        <v>196</v>
      </c>
      <c r="E3" s="9">
        <v>231872</v>
      </c>
      <c r="F3" s="9">
        <v>247029</v>
      </c>
      <c r="G3" s="9">
        <v>269287</v>
      </c>
      <c r="H3" s="22">
        <f t="shared" ref="H3:H10" si="0">(G3-F3)/F3</f>
        <v>9.0102781454808947E-2</v>
      </c>
      <c r="I3" s="22">
        <f t="shared" ref="I3:I10" si="1">G3/$G$10</f>
        <v>0.37561443053935983</v>
      </c>
      <c r="R3" s="37" t="s">
        <v>199</v>
      </c>
      <c r="S3" s="9">
        <v>68635</v>
      </c>
    </row>
    <row r="4" spans="2:21" x14ac:dyDescent="0.35">
      <c r="B4" t="s">
        <v>197</v>
      </c>
      <c r="E4" s="9">
        <v>20030</v>
      </c>
      <c r="F4" s="9">
        <v>21215</v>
      </c>
      <c r="G4" s="9">
        <v>22561</v>
      </c>
      <c r="H4" s="22">
        <f t="shared" si="0"/>
        <v>6.3445675229790249E-2</v>
      </c>
      <c r="I4" s="22">
        <f t="shared" si="1"/>
        <v>3.1469165490344862E-2</v>
      </c>
      <c r="R4" s="37" t="s">
        <v>203</v>
      </c>
      <c r="S4" s="9">
        <v>128725</v>
      </c>
    </row>
    <row r="5" spans="2:21" x14ac:dyDescent="0.35">
      <c r="B5" t="s">
        <v>198</v>
      </c>
      <c r="E5" s="9">
        <v>140053</v>
      </c>
      <c r="F5" s="9">
        <v>156146</v>
      </c>
      <c r="G5" s="9">
        <v>172162</v>
      </c>
      <c r="H5" s="22">
        <f t="shared" si="0"/>
        <v>0.10257067103864333</v>
      </c>
      <c r="I5" s="22">
        <f t="shared" si="1"/>
        <v>0.24013981956246408</v>
      </c>
      <c r="R5" s="37" t="s">
        <v>196</v>
      </c>
      <c r="S5" s="9">
        <v>269287</v>
      </c>
    </row>
    <row r="6" spans="2:21" x14ac:dyDescent="0.35">
      <c r="B6" t="s">
        <v>199</v>
      </c>
      <c r="E6" s="9">
        <v>46906</v>
      </c>
      <c r="F6" s="9">
        <v>56214</v>
      </c>
      <c r="G6" s="9">
        <v>68635</v>
      </c>
      <c r="H6" s="22">
        <f t="shared" si="0"/>
        <v>0.22095919166044045</v>
      </c>
      <c r="I6" s="22">
        <f t="shared" si="1"/>
        <v>9.5735391757006322E-2</v>
      </c>
      <c r="R6" s="37" t="s">
        <v>197</v>
      </c>
      <c r="S6" s="9">
        <v>22561</v>
      </c>
    </row>
    <row r="7" spans="2:21" x14ac:dyDescent="0.35">
      <c r="B7" t="s">
        <v>200</v>
      </c>
      <c r="E7" s="9">
        <v>40209</v>
      </c>
      <c r="F7" s="9">
        <v>44374</v>
      </c>
      <c r="G7" s="9">
        <v>49619</v>
      </c>
      <c r="H7" s="22">
        <f t="shared" si="0"/>
        <v>0.11819984675711002</v>
      </c>
      <c r="I7" s="22">
        <f t="shared" si="1"/>
        <v>6.9210962389318814E-2</v>
      </c>
      <c r="R7" s="37" t="s">
        <v>200</v>
      </c>
      <c r="S7" s="9">
        <v>49619</v>
      </c>
    </row>
    <row r="8" spans="2:21" x14ac:dyDescent="0.35">
      <c r="B8" t="s">
        <v>203</v>
      </c>
      <c r="E8" s="9">
        <v>90757</v>
      </c>
      <c r="F8" s="9">
        <v>107556</v>
      </c>
      <c r="G8" s="9">
        <v>128725</v>
      </c>
      <c r="H8" s="22">
        <f t="shared" si="0"/>
        <v>0.19681840157685299</v>
      </c>
      <c r="I8" s="22">
        <f t="shared" si="1"/>
        <v>0.17955180744402474</v>
      </c>
      <c r="R8" s="37" t="s">
        <v>198</v>
      </c>
      <c r="S8" s="9">
        <v>172162</v>
      </c>
    </row>
    <row r="9" spans="2:21" x14ac:dyDescent="0.35">
      <c r="B9" t="s">
        <v>201</v>
      </c>
      <c r="E9" s="9">
        <v>4958</v>
      </c>
      <c r="F9" s="9">
        <v>5425</v>
      </c>
      <c r="G9" s="9">
        <v>5935</v>
      </c>
      <c r="H9" s="22">
        <f t="shared" si="0"/>
        <v>9.4009216589861749E-2</v>
      </c>
      <c r="I9" s="22">
        <f t="shared" si="1"/>
        <v>8.2784228174813505E-3</v>
      </c>
      <c r="R9" s="37" t="s">
        <v>208</v>
      </c>
      <c r="S9" s="9">
        <v>710989</v>
      </c>
    </row>
    <row r="10" spans="2:21" x14ac:dyDescent="0.35">
      <c r="B10" t="s">
        <v>202</v>
      </c>
      <c r="E10" s="24">
        <f>SUM(E3:E9)</f>
        <v>574785</v>
      </c>
      <c r="F10" s="24">
        <f>SUM(F3:F9)</f>
        <v>637959</v>
      </c>
      <c r="G10" s="24">
        <f>SUM(G3:G9)</f>
        <v>716924</v>
      </c>
      <c r="H10" s="22">
        <f t="shared" si="0"/>
        <v>0.12377754683294695</v>
      </c>
      <c r="I10" s="22">
        <f t="shared" si="1"/>
        <v>1</v>
      </c>
    </row>
    <row r="12" spans="2:21" x14ac:dyDescent="0.35">
      <c r="E12" s="9"/>
      <c r="F12" s="9"/>
      <c r="G12" s="9"/>
    </row>
    <row r="13" spans="2:21" x14ac:dyDescent="0.35">
      <c r="B13" t="s">
        <v>215</v>
      </c>
      <c r="E13" s="9">
        <v>2023</v>
      </c>
      <c r="F13" s="9">
        <v>2024</v>
      </c>
      <c r="G13" s="9">
        <v>2025</v>
      </c>
      <c r="H13" t="s">
        <v>204</v>
      </c>
      <c r="I13" t="s">
        <v>205</v>
      </c>
    </row>
    <row r="14" spans="2:21" x14ac:dyDescent="0.35">
      <c r="B14" t="s">
        <v>216</v>
      </c>
      <c r="E14" s="9">
        <v>352828</v>
      </c>
      <c r="F14" s="9">
        <v>387497</v>
      </c>
      <c r="G14" s="9">
        <v>426305</v>
      </c>
      <c r="H14" s="22">
        <v>0.10015045277769892</v>
      </c>
      <c r="I14" s="22">
        <v>0.59463067214934917</v>
      </c>
      <c r="R14" s="36" t="s">
        <v>207</v>
      </c>
      <c r="S14" t="s">
        <v>211</v>
      </c>
      <c r="T14" t="s">
        <v>212</v>
      </c>
      <c r="U14" t="s">
        <v>213</v>
      </c>
    </row>
    <row r="15" spans="2:21" x14ac:dyDescent="0.35">
      <c r="B15" s="24" t="s">
        <v>217</v>
      </c>
      <c r="E15">
        <v>337951</v>
      </c>
      <c r="F15" s="24">
        <v>362530</v>
      </c>
      <c r="G15">
        <v>396686</v>
      </c>
      <c r="H15" s="22">
        <v>9.4215651118528115E-2</v>
      </c>
      <c r="I15" s="22">
        <v>0.62279083568700166</v>
      </c>
      <c r="N15" s="24"/>
      <c r="R15" s="37" t="s">
        <v>199</v>
      </c>
      <c r="S15" s="9">
        <v>46906</v>
      </c>
      <c r="T15" s="9">
        <v>56214</v>
      </c>
      <c r="U15" s="9">
        <v>68635</v>
      </c>
    </row>
    <row r="16" spans="2:21" x14ac:dyDescent="0.35">
      <c r="B16" t="s">
        <v>218</v>
      </c>
      <c r="E16" s="9">
        <v>14877</v>
      </c>
      <c r="F16" s="9">
        <v>24967</v>
      </c>
      <c r="G16" s="9">
        <v>29619</v>
      </c>
      <c r="H16" s="22">
        <v>0.18632595025433571</v>
      </c>
      <c r="R16" s="37" t="s">
        <v>203</v>
      </c>
      <c r="S16" s="9">
        <v>90757</v>
      </c>
      <c r="T16" s="9">
        <v>107556</v>
      </c>
      <c r="U16" s="9">
        <v>128725</v>
      </c>
    </row>
    <row r="17" spans="2:21" x14ac:dyDescent="0.35">
      <c r="H17" s="22"/>
      <c r="R17" s="37" t="s">
        <v>196</v>
      </c>
      <c r="S17" s="9">
        <v>231872</v>
      </c>
      <c r="T17" s="9">
        <v>247029</v>
      </c>
      <c r="U17" s="9">
        <v>269287</v>
      </c>
    </row>
    <row r="18" spans="2:21" x14ac:dyDescent="0.35">
      <c r="B18" t="s">
        <v>219</v>
      </c>
      <c r="E18" s="9">
        <v>2023</v>
      </c>
      <c r="F18" s="9">
        <v>2024</v>
      </c>
      <c r="G18" s="9">
        <v>2025</v>
      </c>
      <c r="H18" s="22">
        <v>4.9407114624505926E-4</v>
      </c>
      <c r="R18" s="37" t="s">
        <v>197</v>
      </c>
      <c r="S18" s="9">
        <v>20030</v>
      </c>
      <c r="T18" s="9">
        <v>21215</v>
      </c>
      <c r="U18" s="9">
        <v>22561</v>
      </c>
    </row>
    <row r="19" spans="2:21" x14ac:dyDescent="0.35">
      <c r="B19" t="s">
        <v>216</v>
      </c>
      <c r="E19">
        <v>131200</v>
      </c>
      <c r="F19">
        <v>142906</v>
      </c>
      <c r="G19">
        <v>161894</v>
      </c>
      <c r="H19" s="22">
        <v>0.13287055826907199</v>
      </c>
      <c r="I19" s="22">
        <v>0.22581752040662609</v>
      </c>
      <c r="R19" s="37" t="s">
        <v>200</v>
      </c>
      <c r="S19" s="9">
        <v>40209</v>
      </c>
      <c r="T19" s="9">
        <v>44374</v>
      </c>
      <c r="U19" s="9">
        <v>49619</v>
      </c>
    </row>
    <row r="20" spans="2:21" x14ac:dyDescent="0.35">
      <c r="B20" s="24" t="s">
        <v>217</v>
      </c>
      <c r="E20">
        <v>133856</v>
      </c>
      <c r="F20">
        <v>139114</v>
      </c>
      <c r="G20">
        <v>157144</v>
      </c>
      <c r="H20" s="22">
        <v>0.12960593470103657</v>
      </c>
      <c r="I20" s="22">
        <v>0.24671363013365277</v>
      </c>
      <c r="R20" s="37" t="s">
        <v>198</v>
      </c>
      <c r="S20" s="9">
        <v>140053</v>
      </c>
      <c r="T20" s="9">
        <v>156146</v>
      </c>
      <c r="U20" s="9">
        <v>172162</v>
      </c>
    </row>
    <row r="21" spans="2:21" x14ac:dyDescent="0.35">
      <c r="B21" t="s">
        <v>218</v>
      </c>
      <c r="E21">
        <v>-2656</v>
      </c>
      <c r="F21">
        <v>3792</v>
      </c>
      <c r="G21">
        <v>4750</v>
      </c>
      <c r="H21" s="22">
        <v>0.25263713080168776</v>
      </c>
      <c r="R21" s="37" t="s">
        <v>208</v>
      </c>
      <c r="S21" s="9">
        <v>569827</v>
      </c>
      <c r="T21" s="9">
        <v>632534</v>
      </c>
      <c r="U21" s="9">
        <v>710989</v>
      </c>
    </row>
    <row r="22" spans="2:21" x14ac:dyDescent="0.35">
      <c r="H22" s="22"/>
    </row>
    <row r="23" spans="2:21" x14ac:dyDescent="0.35">
      <c r="B23" t="s">
        <v>195</v>
      </c>
      <c r="E23">
        <v>2023</v>
      </c>
      <c r="F23">
        <v>2024</v>
      </c>
      <c r="G23">
        <v>2025</v>
      </c>
      <c r="H23" s="22">
        <v>4.9407114624505926E-4</v>
      </c>
    </row>
    <row r="24" spans="2:21" x14ac:dyDescent="0.35">
      <c r="B24" t="s">
        <v>216</v>
      </c>
      <c r="E24">
        <v>90757</v>
      </c>
      <c r="F24">
        <v>107556</v>
      </c>
      <c r="G24">
        <v>128725</v>
      </c>
      <c r="H24" s="22">
        <v>0.19681840157685299</v>
      </c>
      <c r="I24" s="22">
        <v>0.17955180744402474</v>
      </c>
    </row>
    <row r="25" spans="2:21" x14ac:dyDescent="0.35">
      <c r="B25" t="s">
        <v>217</v>
      </c>
      <c r="E25">
        <v>66126</v>
      </c>
      <c r="F25">
        <v>67722</v>
      </c>
      <c r="G25">
        <v>83119</v>
      </c>
      <c r="H25" s="22">
        <v>0.22735595522872923</v>
      </c>
      <c r="I25" s="22">
        <v>0.13049553417934559</v>
      </c>
      <c r="R25" s="36" t="s">
        <v>207</v>
      </c>
      <c r="S25" t="s">
        <v>209</v>
      </c>
    </row>
    <row r="26" spans="2:21" x14ac:dyDescent="0.35">
      <c r="B26" t="s">
        <v>218</v>
      </c>
      <c r="E26">
        <v>24631</v>
      </c>
      <c r="F26">
        <v>39834</v>
      </c>
      <c r="G26">
        <v>45606</v>
      </c>
      <c r="H26" s="22">
        <v>0.14490134056333787</v>
      </c>
      <c r="R26" s="37" t="s">
        <v>196</v>
      </c>
      <c r="S26" s="21">
        <v>9.0102781454808947E-2</v>
      </c>
    </row>
    <row r="27" spans="2:21" x14ac:dyDescent="0.35">
      <c r="R27" s="37" t="s">
        <v>197</v>
      </c>
      <c r="S27" s="21">
        <v>6.3445675229790249E-2</v>
      </c>
    </row>
    <row r="28" spans="2:21" x14ac:dyDescent="0.35">
      <c r="R28" s="37" t="s">
        <v>198</v>
      </c>
      <c r="S28" s="21">
        <v>0.10257067103864333</v>
      </c>
    </row>
    <row r="29" spans="2:21" x14ac:dyDescent="0.35">
      <c r="E29" s="9">
        <v>2023</v>
      </c>
      <c r="F29" s="9">
        <v>2024</v>
      </c>
      <c r="G29" s="9">
        <v>2025</v>
      </c>
      <c r="H29" t="s">
        <v>204</v>
      </c>
      <c r="I29" t="s">
        <v>205</v>
      </c>
      <c r="R29" s="37" t="s">
        <v>200</v>
      </c>
      <c r="S29" s="21">
        <v>0.11819984675711002</v>
      </c>
    </row>
    <row r="30" spans="2:21" x14ac:dyDescent="0.35">
      <c r="B30" t="s">
        <v>214</v>
      </c>
      <c r="E30" s="9">
        <v>352828</v>
      </c>
      <c r="F30" s="9">
        <v>387497</v>
      </c>
      <c r="G30" s="9">
        <v>426305</v>
      </c>
      <c r="H30" s="22">
        <v>0.10015045277769892</v>
      </c>
      <c r="I30" s="22">
        <v>0.59463067214934917</v>
      </c>
      <c r="R30" s="37" t="s">
        <v>203</v>
      </c>
      <c r="S30" s="21">
        <v>0.19681840157685299</v>
      </c>
    </row>
    <row r="31" spans="2:21" x14ac:dyDescent="0.35">
      <c r="B31" t="s">
        <v>219</v>
      </c>
      <c r="E31">
        <v>131200</v>
      </c>
      <c r="F31" s="24">
        <v>142906</v>
      </c>
      <c r="G31">
        <v>161894</v>
      </c>
      <c r="H31" s="22">
        <v>0.13287055826907199</v>
      </c>
      <c r="I31" s="22">
        <v>0.22581752040662609</v>
      </c>
      <c r="R31" s="37" t="s">
        <v>199</v>
      </c>
      <c r="S31" s="21">
        <v>0.22095919166044045</v>
      </c>
    </row>
    <row r="32" spans="2:21" x14ac:dyDescent="0.35">
      <c r="B32" t="s">
        <v>195</v>
      </c>
      <c r="E32" s="9">
        <v>90757</v>
      </c>
      <c r="F32" s="9">
        <v>107556</v>
      </c>
      <c r="G32" s="9">
        <v>128725</v>
      </c>
      <c r="H32" s="22">
        <v>0.19681840157685299</v>
      </c>
      <c r="I32" s="22">
        <v>0.17955180744402474</v>
      </c>
      <c r="R32" s="37" t="s">
        <v>208</v>
      </c>
      <c r="S32" s="21">
        <v>0.79209656771764603</v>
      </c>
    </row>
    <row r="33" spans="5:20" x14ac:dyDescent="0.35">
      <c r="H33" s="22"/>
    </row>
    <row r="34" spans="5:20" x14ac:dyDescent="0.35">
      <c r="E34" s="9"/>
      <c r="F34" s="9"/>
      <c r="G34" s="9"/>
      <c r="H34" s="22"/>
    </row>
    <row r="35" spans="5:20" x14ac:dyDescent="0.35">
      <c r="H35" s="22"/>
      <c r="I35" s="22"/>
    </row>
    <row r="36" spans="5:20" x14ac:dyDescent="0.35">
      <c r="H36" s="22"/>
      <c r="I36" s="22"/>
      <c r="S36" s="36" t="s">
        <v>220</v>
      </c>
    </row>
    <row r="37" spans="5:20" x14ac:dyDescent="0.35">
      <c r="H37" s="22"/>
      <c r="R37" s="36" t="s">
        <v>221</v>
      </c>
      <c r="S37" t="s">
        <v>216</v>
      </c>
      <c r="T37" t="s">
        <v>208</v>
      </c>
    </row>
    <row r="38" spans="5:20" x14ac:dyDescent="0.35">
      <c r="H38" s="22"/>
      <c r="R38" s="37" t="s">
        <v>211</v>
      </c>
      <c r="S38" s="9">
        <v>352828</v>
      </c>
      <c r="T38" s="9">
        <v>352828</v>
      </c>
    </row>
    <row r="39" spans="5:20" x14ac:dyDescent="0.35">
      <c r="H39" s="22"/>
      <c r="R39" s="37" t="s">
        <v>212</v>
      </c>
      <c r="S39" s="9">
        <v>387497</v>
      </c>
      <c r="T39" s="9">
        <v>387497</v>
      </c>
    </row>
    <row r="40" spans="5:20" x14ac:dyDescent="0.35">
      <c r="H40" s="22"/>
      <c r="I40" s="22"/>
      <c r="R40" s="37" t="s">
        <v>213</v>
      </c>
      <c r="S40" s="9">
        <v>426305</v>
      </c>
      <c r="T40" s="9">
        <v>426305</v>
      </c>
    </row>
    <row r="41" spans="5:20" x14ac:dyDescent="0.35">
      <c r="H41" s="22"/>
      <c r="I41" s="22"/>
    </row>
    <row r="42" spans="5:20" x14ac:dyDescent="0.35">
      <c r="H42" s="22"/>
    </row>
  </sheetData>
  <pageMargins left="0.7" right="0.7" top="0.75" bottom="0.75" header="0.3" footer="0.3"/>
  <ignoredErrors>
    <ignoredError sqref="E10:G11"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99DA9-7264-4E5A-9FCC-968FE6683552}">
  <dimension ref="A1"/>
  <sheetViews>
    <sheetView showGridLines="0" tabSelected="1" topLeftCell="A6" zoomScale="60" zoomScaleNormal="60" workbookViewId="0">
      <selection activeCell="Z25" sqref="Z25"/>
    </sheetView>
  </sheetViews>
  <sheetFormatPr defaultRowHeight="14.5" x14ac:dyDescent="0.35"/>
  <cols>
    <col min="1" max="26" width="8.7265625" style="35"/>
    <col min="27" max="27" width="24.26953125" style="35" bestFit="1" customWidth="1"/>
    <col min="28" max="28" width="16.7265625" style="35" bestFit="1" customWidth="1"/>
    <col min="29" max="16384" width="8.7265625" style="3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2533-090C-42A6-9455-D0CFAC58E720}">
  <dimension ref="B2:L10"/>
  <sheetViews>
    <sheetView workbookViewId="0">
      <selection activeCell="D3" sqref="D3"/>
    </sheetView>
  </sheetViews>
  <sheetFormatPr defaultRowHeight="14.5" x14ac:dyDescent="0.35"/>
  <cols>
    <col min="2" max="2" width="20.6328125" bestFit="1" customWidth="1"/>
    <col min="4" max="4" width="21.08984375" bestFit="1" customWidth="1"/>
    <col min="5" max="5" width="29.36328125" bestFit="1" customWidth="1"/>
  </cols>
  <sheetData>
    <row r="2" spans="2:12" x14ac:dyDescent="0.35">
      <c r="D2" t="s">
        <v>233</v>
      </c>
      <c r="E2" t="s">
        <v>232</v>
      </c>
    </row>
    <row r="3" spans="2:12" x14ac:dyDescent="0.35">
      <c r="B3" t="s">
        <v>222</v>
      </c>
      <c r="D3">
        <v>710000</v>
      </c>
      <c r="E3">
        <v>76000</v>
      </c>
    </row>
    <row r="4" spans="2:12" x14ac:dyDescent="0.35">
      <c r="B4" t="s">
        <v>223</v>
      </c>
      <c r="D4">
        <v>716924</v>
      </c>
      <c r="E4">
        <v>79975</v>
      </c>
      <c r="L4" s="22"/>
    </row>
    <row r="5" spans="2:12" x14ac:dyDescent="0.35">
      <c r="B5" t="s">
        <v>224</v>
      </c>
      <c r="D5">
        <f>D4-D3</f>
        <v>6924</v>
      </c>
      <c r="E5">
        <f>E4-E3</f>
        <v>3975</v>
      </c>
      <c r="L5" s="22"/>
    </row>
    <row r="6" spans="2:12" x14ac:dyDescent="0.35">
      <c r="B6" t="s">
        <v>225</v>
      </c>
      <c r="D6" s="22">
        <f>D5/D3</f>
        <v>9.7521126760563379E-3</v>
      </c>
      <c r="E6" s="22">
        <f>E5/E3</f>
        <v>5.2302631578947371E-2</v>
      </c>
    </row>
    <row r="8" spans="2:12" x14ac:dyDescent="0.35">
      <c r="D8" t="s">
        <v>226</v>
      </c>
      <c r="E8" t="s">
        <v>226</v>
      </c>
    </row>
    <row r="9" spans="2:12" x14ac:dyDescent="0.35">
      <c r="F9" s="22"/>
    </row>
    <row r="10" spans="2:12" x14ac:dyDescent="0.35">
      <c r="F10"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AMZN_Cash flow</vt:lpstr>
      <vt:lpstr>AMZN_Income Statement</vt:lpstr>
      <vt:lpstr>AMZN_Balance Sheet</vt:lpstr>
      <vt:lpstr>1) Financial_Analysis</vt:lpstr>
      <vt:lpstr>2) Financial_Models</vt:lpstr>
      <vt:lpstr>3) Valuation</vt:lpstr>
      <vt:lpstr>Financial_Dashboard</vt:lpstr>
      <vt:lpstr>4) Dashboard_Data</vt:lpstr>
      <vt:lpstr>5) Dashboard</vt:lpstr>
      <vt:lpstr>6) Budget Vs Actual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Srivastava</dc:creator>
  <cp:lastModifiedBy>Ryan Srivastava</cp:lastModifiedBy>
  <dcterms:created xsi:type="dcterms:W3CDTF">2026-10-18T15:15:36Z</dcterms:created>
  <dcterms:modified xsi:type="dcterms:W3CDTF">2026-10-22T04:36:17Z</dcterms:modified>
</cp:coreProperties>
</file>